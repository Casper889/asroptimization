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pe\Nextcloud2\ASR\Optimizer\"/>
    </mc:Choice>
  </mc:AlternateContent>
  <xr:revisionPtr revIDLastSave="0" documentId="13_ncr:1_{097A08FF-566D-42D1-AE27-6D1AF985A1D8}" xr6:coauthVersionLast="47" xr6:coauthVersionMax="47" xr10:uidLastSave="{00000000-0000-0000-0000-000000000000}"/>
  <bookViews>
    <workbookView xWindow="7245" yWindow="540" windowWidth="24750" windowHeight="20415" xr2:uid="{D35C744E-35CF-4CC3-B28D-9591BEE6ABB7}"/>
  </bookViews>
  <sheets>
    <sheet name="alpha" sheetId="1" r:id="rId1"/>
    <sheet name="core" sheetId="2" r:id="rId2"/>
    <sheet name="net" sheetId="3" r:id="rId3"/>
  </sheets>
  <definedNames>
    <definedName name="_xlnm._FilterDatabase" localSheetId="1" hidden="1">core!$A$2:$N$2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2" l="1" a="1"/>
  <c r="M83" i="2" l="1"/>
  <c r="D284" i="2" a="1"/>
  <c r="D284" i="2" l="1"/>
  <c r="N67" i="2" a="1"/>
  <c r="N67" i="2" l="1"/>
  <c r="L241" i="2" a="1"/>
  <c r="L241" i="2" l="1"/>
  <c r="H47" i="2" a="1"/>
  <c r="H47" i="2" l="1"/>
  <c r="M241" i="2" a="1"/>
  <c r="M241" i="2" l="1"/>
  <c r="G83" i="2" a="1"/>
  <c r="G83" i="2" l="1"/>
  <c r="N241" i="2" a="1"/>
  <c r="N241" i="2" l="1"/>
  <c r="D83" i="2" a="1"/>
  <c r="D83" i="2" l="1"/>
  <c r="E14" i="2" a="1"/>
  <c r="E14" i="2" l="1"/>
  <c r="G67" i="2" a="1"/>
  <c r="G67" i="2" l="1"/>
  <c r="I208" i="2" a="1"/>
  <c r="I208" i="2" l="1"/>
  <c r="H208" i="2" a="1"/>
  <c r="H208" i="2" l="1"/>
  <c r="D24" i="2" a="1"/>
  <c r="D24" i="2" l="1"/>
  <c r="D241" i="2" a="1"/>
  <c r="D241" i="2" l="1"/>
  <c r="E47" i="2" a="1"/>
  <c r="E47" i="2" l="1"/>
  <c r="L24" i="2" a="1"/>
  <c r="L24" i="2" l="1"/>
  <c r="E24" i="2" a="1"/>
  <c r="E24" i="2" l="1"/>
  <c r="K203" i="2" a="1"/>
  <c r="K203" i="2" l="1"/>
  <c r="N47" i="2" a="1"/>
  <c r="N47" i="2" l="1"/>
  <c r="M284" i="2" a="1"/>
  <c r="M284" i="2" l="1"/>
  <c r="I241" i="2" a="1"/>
  <c r="I241" i="2" l="1"/>
  <c r="F24" i="2" a="1"/>
  <c r="F24" i="2" l="1"/>
  <c r="H241" i="2" a="1"/>
  <c r="H241" i="2" l="1"/>
  <c r="I284" i="2" a="1"/>
  <c r="I284" i="2" l="1"/>
  <c r="D67" i="2" a="1"/>
  <c r="D67" i="2" l="1"/>
  <c r="J203" i="2" a="1"/>
  <c r="J203" i="2" l="1"/>
  <c r="J47" i="2" a="1"/>
  <c r="J47" i="2" l="1"/>
  <c r="F3" i="2" a="1"/>
  <c r="F3" i="2" l="1"/>
  <c r="I24" i="2" a="1"/>
  <c r="I24" i="2" l="1"/>
  <c r="L203" i="2" a="1"/>
  <c r="L203" i="2" l="1"/>
  <c r="C24" i="2" a="1"/>
  <c r="C24" i="2" l="1"/>
  <c r="D14" i="2" a="1"/>
  <c r="D14" i="2" l="1"/>
  <c r="H3" i="2" a="1"/>
  <c r="H3" i="2" l="1"/>
  <c r="D3" i="2" a="1"/>
  <c r="D3" i="2" l="1"/>
  <c r="K3" i="2" a="1"/>
  <c r="K3" i="2" l="1"/>
  <c r="I47" i="2" a="1"/>
  <c r="I47" i="2" l="1"/>
  <c r="G208" i="2" a="1"/>
  <c r="G208" i="2" l="1"/>
  <c r="J208" i="2" a="1"/>
  <c r="J208" i="2" l="1"/>
  <c r="K14" i="2" a="1"/>
  <c r="K14" i="2" l="1"/>
  <c r="G241" i="2" a="1"/>
  <c r="G241" i="2" l="1"/>
  <c r="J3" i="2" a="1"/>
  <c r="J3" i="2" l="1"/>
  <c r="C203" i="2" a="1"/>
  <c r="C203" i="2" l="1"/>
  <c r="N83" i="2" a="1"/>
  <c r="N83" i="2" l="1"/>
  <c r="J241" i="2" a="1"/>
  <c r="J241" i="2" l="1"/>
  <c r="F83" i="2" a="1"/>
  <c r="F83" i="2" l="1"/>
  <c r="I67" i="2" a="1"/>
  <c r="I67" i="2" l="1"/>
  <c r="G47" i="2" a="1"/>
  <c r="G47" i="2" l="1"/>
  <c r="L67" i="2" a="1"/>
  <c r="L67" i="2" l="1"/>
  <c r="E241" i="2" a="1"/>
  <c r="E241" i="2" l="1"/>
  <c r="M24" i="2" a="1"/>
  <c r="M24" i="2" l="1"/>
  <c r="G14" i="2" a="1"/>
  <c r="G14" i="2" l="1"/>
  <c r="E208" i="2" a="1"/>
  <c r="E208" i="2" l="1"/>
  <c r="D208" i="2" a="1"/>
  <c r="D208" i="2" l="1"/>
  <c r="L83" i="2" a="1"/>
  <c r="L83" i="2" l="1"/>
  <c r="L3" i="2" a="1"/>
  <c r="L3" i="2" l="1"/>
  <c r="C83" i="2" a="1"/>
  <c r="C83" i="2" l="1"/>
  <c r="F67" i="2" a="1"/>
  <c r="F67" i="2" l="1"/>
  <c r="C241" i="2" a="1"/>
  <c r="C241" i="2" l="1"/>
  <c r="I83" i="2" a="1"/>
  <c r="I83" i="2" l="1"/>
  <c r="N3" i="2" a="1"/>
  <c r="N3" i="2" l="1"/>
  <c r="G24" i="2" a="1"/>
  <c r="G24" i="2" l="1"/>
  <c r="M14" i="2" a="1"/>
  <c r="M14" i="2" l="1"/>
  <c r="H67" i="2" a="1"/>
  <c r="H67" i="2" l="1"/>
  <c r="D203" i="2" a="1"/>
  <c r="D203" i="2" l="1"/>
  <c r="K24" i="2" a="1"/>
  <c r="K24" i="2" l="1"/>
  <c r="E83" i="2" a="1"/>
  <c r="E83" i="2" l="1"/>
  <c r="N14" i="2" a="1"/>
  <c r="N14" i="2" l="1"/>
  <c r="L208" i="2" a="1"/>
  <c r="L208" i="2" l="1"/>
  <c r="J14" i="2" a="1"/>
  <c r="J14" i="2" l="1"/>
  <c r="E67" i="2" a="1"/>
  <c r="E67" i="2" l="1"/>
  <c r="F203" i="2" a="1"/>
  <c r="F203" i="2" l="1"/>
  <c r="M67" i="2" a="1"/>
  <c r="M67" i="2" l="1"/>
  <c r="J284" i="2" a="1"/>
  <c r="J284" i="2" l="1"/>
  <c r="E203" i="2" a="1"/>
  <c r="E203" i="2" l="1"/>
  <c r="K83" i="2" a="1"/>
  <c r="K83" i="2" l="1"/>
  <c r="J24" i="2" a="1"/>
  <c r="J24" i="2" l="1"/>
  <c r="H83" i="2" a="1"/>
  <c r="H83" i="2" l="1"/>
  <c r="F208" i="2" a="1"/>
  <c r="F208" i="2" l="1"/>
  <c r="I203" i="2" a="1"/>
  <c r="I203" i="2" l="1"/>
  <c r="K208" i="2" a="1"/>
  <c r="K208" i="2" l="1"/>
  <c r="N284" i="2" a="1"/>
  <c r="N284" i="2" l="1"/>
  <c r="C284" i="2" a="1"/>
  <c r="C284" i="2" l="1"/>
  <c r="L47" i="2" a="1"/>
  <c r="L47" i="2" l="1"/>
  <c r="K67" i="2" a="1"/>
  <c r="K67" i="2" l="1"/>
  <c r="G284" i="2" a="1"/>
  <c r="G284" i="2" l="1"/>
  <c r="H284" i="2" a="1"/>
  <c r="H284" i="2" l="1"/>
  <c r="N24" i="2" a="1"/>
  <c r="N24" i="2" l="1"/>
  <c r="M47" i="2" a="1"/>
  <c r="M47" i="2" l="1"/>
  <c r="E284" i="2" a="1"/>
  <c r="E284" i="2" l="1"/>
  <c r="K47" i="2" a="1"/>
  <c r="K47" i="2" l="1"/>
  <c r="C3" i="2" a="1"/>
  <c r="C3" i="2" l="1"/>
  <c r="E3" i="2" a="1"/>
  <c r="E3" i="2" l="1"/>
  <c r="C67" i="2" a="1"/>
  <c r="C67" i="2" l="1"/>
  <c r="K241" i="2" a="1"/>
  <c r="K241" i="2" l="1"/>
  <c r="G3" i="2" a="1"/>
  <c r="G3" i="2" l="1"/>
  <c r="F284" i="2" a="1"/>
  <c r="F284" i="2" l="1"/>
  <c r="H14" i="2" a="1"/>
  <c r="H14" i="2" l="1"/>
  <c r="M203" i="2" a="1"/>
  <c r="M203" i="2" l="1"/>
  <c r="K284" i="2" a="1"/>
  <c r="K284" i="2" l="1"/>
  <c r="C208" i="2" a="1"/>
  <c r="C208" i="2" l="1"/>
  <c r="N208" i="2" a="1"/>
  <c r="N208" i="2" l="1"/>
  <c r="D47" i="2" a="1"/>
  <c r="D47" i="2" l="1"/>
  <c r="I14" i="2" a="1"/>
  <c r="I14" i="2" l="1"/>
  <c r="L14" i="2" a="1"/>
  <c r="L14" i="2" l="1"/>
  <c r="N203" i="2" a="1"/>
  <c r="N203" i="2" l="1"/>
  <c r="C47" i="2" a="1"/>
  <c r="C47" i="2" l="1"/>
  <c r="I3" i="2" a="1"/>
  <c r="I3" i="2" l="1"/>
  <c r="F14" i="2" a="1"/>
  <c r="F14" i="2" l="1"/>
  <c r="G203" i="2" a="1"/>
  <c r="G203" i="2" l="1"/>
  <c r="J67" i="2" a="1"/>
  <c r="J67" i="2" l="1"/>
  <c r="M3" i="2" a="1"/>
  <c r="M3" i="2" l="1"/>
  <c r="H24" i="2" a="1"/>
  <c r="H24" i="2" l="1"/>
  <c r="F241" i="2" a="1"/>
  <c r="F241" i="2" l="1"/>
  <c r="M208" i="2" a="1"/>
  <c r="M208" i="2" l="1"/>
  <c r="L284" i="2" a="1"/>
  <c r="L284" i="2" l="1"/>
  <c r="J83" i="2" a="1"/>
  <c r="J83" i="2" l="1"/>
  <c r="C14" i="2" a="1"/>
  <c r="C14" i="2" l="1"/>
  <c r="F47" i="2" a="1"/>
  <c r="F47" i="2" l="1"/>
  <c r="H203" i="2" a="1"/>
  <c r="H203" i="2" l="1"/>
  <c r="I139" i="2" a="1"/>
  <c r="I139" i="2" l="1"/>
  <c r="I267" i="2" a="1"/>
  <c r="I267" i="2" l="1"/>
  <c r="I242" i="2" a="1"/>
  <c r="I242" i="2" l="1"/>
  <c r="L25" i="2" a="1"/>
  <c r="L25" i="2" l="1"/>
  <c r="E315" i="2" a="1"/>
  <c r="E315" i="2" l="1"/>
  <c r="M267" i="2" a="1"/>
  <c r="M267" i="2" l="1"/>
  <c r="J116" i="2" a="1"/>
  <c r="J116" i="2" l="1"/>
  <c r="C25" i="2" a="1"/>
  <c r="C25" i="2" l="1"/>
  <c r="E25" i="2" a="1"/>
  <c r="E25" i="2" l="1"/>
  <c r="K315" i="2" a="1"/>
  <c r="K315" i="2" l="1"/>
  <c r="N116" i="2" a="1"/>
  <c r="N116" i="2" l="1"/>
  <c r="F25" i="2" a="1"/>
  <c r="F25" i="2" l="1"/>
  <c r="D279" i="2" a="1"/>
  <c r="D279" i="2" l="1"/>
  <c r="H267" i="2" a="1"/>
  <c r="H267" i="2" l="1"/>
  <c r="G25" i="2" a="1"/>
  <c r="G25" i="2" l="1"/>
  <c r="M92" i="2" a="1"/>
  <c r="M92" i="2" l="1"/>
  <c r="G92" i="2" a="1"/>
  <c r="G92" i="2" l="1"/>
  <c r="N92" i="2" a="1"/>
  <c r="N92" i="2" l="1"/>
  <c r="K25" i="2" a="1"/>
  <c r="K25" i="2" l="1"/>
  <c r="G100" i="2" a="1"/>
  <c r="G100" i="2" l="1"/>
  <c r="D116" i="2" a="1"/>
  <c r="D116" i="2" l="1"/>
  <c r="H105" i="2" a="1"/>
  <c r="H105" i="2" l="1"/>
  <c r="D315" i="2" a="1"/>
  <c r="D315" i="2" l="1"/>
  <c r="J100" i="2" a="1"/>
  <c r="J100" i="2" l="1"/>
  <c r="E267" i="2" a="1"/>
  <c r="E267" i="2" l="1"/>
  <c r="I116" i="2" a="1"/>
  <c r="I116" i="2" l="1"/>
  <c r="D105" i="2" a="1"/>
  <c r="D105" i="2" l="1"/>
  <c r="D100" i="2" a="1"/>
  <c r="D100" i="2" l="1"/>
  <c r="I100" i="2" a="1"/>
  <c r="I100" i="2" l="1"/>
  <c r="C267" i="2" a="1"/>
  <c r="C267" i="2" l="1"/>
  <c r="D139" i="2" a="1"/>
  <c r="D139" i="2" l="1"/>
  <c r="C92" i="2" a="1"/>
  <c r="C92" i="2" l="1"/>
  <c r="H100" i="2" a="1"/>
  <c r="H100" i="2" l="1"/>
  <c r="J92" i="2" a="1"/>
  <c r="J92" i="2" l="1"/>
  <c r="H242" i="2" a="1"/>
  <c r="H242" i="2" l="1"/>
  <c r="G105" i="2" a="1"/>
  <c r="G105" i="2" l="1"/>
  <c r="J139" i="2" a="1"/>
  <c r="J139" i="2" l="1"/>
  <c r="J25" i="2" a="1"/>
  <c r="J25" i="2" l="1"/>
  <c r="K100" i="2" a="1"/>
  <c r="K100" i="2" l="1"/>
  <c r="L116" i="2" a="1"/>
  <c r="L116" i="2" l="1"/>
  <c r="K242" i="2" a="1"/>
  <c r="K242" i="2" l="1"/>
  <c r="F92" i="2" a="1"/>
  <c r="F92" i="2" l="1"/>
  <c r="G267" i="2" a="1"/>
  <c r="G267" i="2" l="1"/>
  <c r="F116" i="2" a="1"/>
  <c r="F116" i="2" l="1"/>
  <c r="H139" i="2" a="1"/>
  <c r="H139" i="2" l="1"/>
  <c r="G279" i="2" a="1"/>
  <c r="G279" i="2" l="1"/>
  <c r="D25" i="2" a="1"/>
  <c r="D25" i="2" l="1"/>
  <c r="N267" i="2" a="1"/>
  <c r="N267" i="2" l="1"/>
  <c r="M139" i="2" a="1"/>
  <c r="M139" i="2" l="1"/>
  <c r="L100" i="2" a="1"/>
  <c r="L100" i="2" l="1"/>
  <c r="E116" i="2" a="1"/>
  <c r="E116" i="2" l="1"/>
  <c r="E92" i="2" a="1"/>
  <c r="E92" i="2" l="1"/>
  <c r="M25" i="2" a="1"/>
  <c r="M25" i="2" l="1"/>
  <c r="G315" i="2" a="1"/>
  <c r="G315" i="2" l="1"/>
  <c r="N105" i="2" a="1"/>
  <c r="N105" i="2" l="1"/>
  <c r="I279" i="2" a="1"/>
  <c r="I279" i="2" l="1"/>
  <c r="D242" i="2" a="1"/>
  <c r="D242" i="2" l="1"/>
  <c r="F279" i="2" a="1"/>
  <c r="F279" i="2" l="1"/>
  <c r="E242" i="2" a="1"/>
  <c r="E242" i="2" l="1"/>
  <c r="C105" i="2" a="1"/>
  <c r="C105" i="2" l="1"/>
  <c r="C139" i="2" a="1"/>
  <c r="C139" i="2" l="1"/>
  <c r="C242" i="2" a="1"/>
  <c r="C242" i="2" l="1"/>
  <c r="N25" i="2" a="1"/>
  <c r="N25" i="2" l="1"/>
  <c r="M242" i="2" a="1"/>
  <c r="M242" i="2" l="1"/>
  <c r="L105" i="2" a="1"/>
  <c r="L105" i="2" l="1"/>
  <c r="K92" i="2" a="1"/>
  <c r="K92" i="2" l="1"/>
  <c r="E139" i="2" a="1"/>
  <c r="E139" i="2" l="1"/>
  <c r="E279" i="2" a="1"/>
  <c r="E279" i="2" l="1"/>
  <c r="J267" i="2" a="1"/>
  <c r="J267" i="2" l="1"/>
  <c r="H116" i="2" a="1"/>
  <c r="H116" i="2" l="1"/>
  <c r="N139" i="2" a="1"/>
  <c r="N139" i="2" l="1"/>
  <c r="G139" i="2" a="1"/>
  <c r="G139" i="2" l="1"/>
  <c r="M105" i="2" a="1"/>
  <c r="M105" i="2" l="1"/>
  <c r="F139" i="2" a="1"/>
  <c r="F139" i="2" l="1"/>
  <c r="L92" i="2" a="1"/>
  <c r="L92" i="2" l="1"/>
  <c r="J315" i="2" a="1"/>
  <c r="J315" i="2" l="1"/>
  <c r="F105" i="2" a="1"/>
  <c r="F105" i="2" l="1"/>
  <c r="N100" i="2" a="1"/>
  <c r="N100" i="2" l="1"/>
  <c r="N315" i="2" a="1"/>
  <c r="N315" i="2" l="1"/>
  <c r="L242" i="2" a="1"/>
  <c r="L242" i="2" l="1"/>
  <c r="J242" i="2" a="1"/>
  <c r="J242" i="2" l="1"/>
  <c r="C100" i="2" a="1"/>
  <c r="C100" i="2" l="1"/>
  <c r="N279" i="2" a="1"/>
  <c r="N279" i="2" l="1"/>
  <c r="I315" i="2" a="1"/>
  <c r="I315" i="2" l="1"/>
  <c r="M315" i="2" a="1"/>
  <c r="M315" i="2" l="1"/>
  <c r="D267" i="2" a="1"/>
  <c r="D267" i="2" l="1"/>
  <c r="C116" i="2" a="1"/>
  <c r="C116" i="2" l="1"/>
  <c r="K139" i="2" a="1"/>
  <c r="K139" i="2" l="1"/>
  <c r="I105" i="2" a="1"/>
  <c r="I105" i="2" l="1"/>
  <c r="E105" i="2" a="1"/>
  <c r="E105" i="2" l="1"/>
  <c r="I25" i="2" a="1"/>
  <c r="I25" i="2" l="1"/>
  <c r="M100" i="2" a="1"/>
  <c r="M100" i="2" l="1"/>
  <c r="L279" i="2" a="1"/>
  <c r="L279" i="2" l="1"/>
  <c r="G242" i="2" a="1"/>
  <c r="G242" i="2" l="1"/>
  <c r="J105" i="2" a="1"/>
  <c r="J105" i="2" l="1"/>
  <c r="F315" i="2" a="1"/>
  <c r="F315" i="2" l="1"/>
  <c r="H315" i="2" a="1"/>
  <c r="H315" i="2" l="1"/>
  <c r="L267" i="2" a="1"/>
  <c r="L267" i="2" l="1"/>
  <c r="L315" i="2" a="1"/>
  <c r="L315" i="2" l="1"/>
  <c r="M279" i="2" a="1"/>
  <c r="M279" i="2" l="1"/>
  <c r="F242" i="2" a="1"/>
  <c r="F242" i="2" l="1"/>
  <c r="K116" i="2" a="1"/>
  <c r="K116" i="2" l="1"/>
  <c r="J279" i="2" a="1"/>
  <c r="J279" i="2" l="1"/>
  <c r="K279" i="2" a="1"/>
  <c r="K279" i="2" l="1"/>
  <c r="H279" i="2" a="1"/>
  <c r="H279" i="2" l="1"/>
  <c r="F267" i="2" a="1"/>
  <c r="F267" i="2" l="1"/>
  <c r="D92" i="2" a="1"/>
  <c r="D92" i="2" l="1"/>
  <c r="I92" i="2" a="1"/>
  <c r="I92" i="2" l="1"/>
  <c r="E100" i="2" a="1"/>
  <c r="E100" i="2" l="1"/>
  <c r="G116" i="2" a="1"/>
  <c r="G116" i="2" l="1"/>
  <c r="F100" i="2" a="1"/>
  <c r="F100" i="2" l="1"/>
  <c r="C315" i="2" a="1"/>
  <c r="C315" i="2" l="1"/>
  <c r="M116" i="2" a="1"/>
  <c r="M116" i="2" l="1"/>
  <c r="N242" i="2" a="1"/>
  <c r="N242" i="2" l="1"/>
  <c r="K105" i="2" a="1"/>
  <c r="K105" i="2" l="1"/>
  <c r="H25" i="2" a="1"/>
  <c r="H25" i="2" l="1"/>
  <c r="H92" i="2" a="1"/>
  <c r="H92" i="2" l="1"/>
  <c r="L139" i="2" a="1"/>
  <c r="L139" i="2" l="1"/>
  <c r="C279" i="2" a="1"/>
  <c r="C279" i="2" l="1"/>
  <c r="K267" i="2" a="1"/>
  <c r="K267" i="2" l="1"/>
  <c r="C17" i="2" a="1"/>
  <c r="C17" i="2" l="1"/>
  <c r="D222" i="2" a="1"/>
  <c r="D222" i="2" l="1"/>
  <c r="C238" i="2" a="1"/>
  <c r="C238" i="2" l="1"/>
  <c r="G17" i="2" a="1"/>
  <c r="G17" i="2" l="1"/>
  <c r="K250" i="2" a="1"/>
  <c r="K250" i="2" l="1"/>
  <c r="G43" i="2" a="1"/>
  <c r="G43" i="2" l="1"/>
  <c r="D120" i="2" a="1"/>
  <c r="D120" i="2" l="1"/>
  <c r="F288" i="2" a="1"/>
  <c r="F288" i="2" l="1"/>
  <c r="C234" i="2" a="1"/>
  <c r="C234" i="2" l="1"/>
  <c r="J17" i="2" a="1"/>
  <c r="J17" i="2" l="1"/>
  <c r="J43" i="2" a="1"/>
  <c r="J43" i="2" l="1"/>
  <c r="G120" i="2" a="1"/>
  <c r="G120" i="2" l="1"/>
  <c r="H296" i="2" a="1"/>
  <c r="H296" i="2" l="1"/>
  <c r="K296" i="2" a="1"/>
  <c r="K296" i="2" l="1"/>
  <c r="D296" i="2" a="1"/>
  <c r="D296" i="2" l="1"/>
  <c r="J89" i="2" a="1"/>
  <c r="J89" i="2" l="1"/>
  <c r="N89" i="2" a="1"/>
  <c r="N89" i="2" l="1"/>
  <c r="J120" i="2" a="1"/>
  <c r="J120" i="2" l="1"/>
  <c r="F238" i="2" a="1"/>
  <c r="F238" i="2" l="1"/>
  <c r="G288" i="2" a="1"/>
  <c r="G288" i="2" l="1"/>
  <c r="I43" i="2" a="1"/>
  <c r="I43" i="2" l="1"/>
  <c r="N43" i="2" a="1"/>
  <c r="N43" i="2" l="1"/>
  <c r="E43" i="2" a="1"/>
  <c r="E43" i="2" l="1"/>
  <c r="N250" i="2" a="1"/>
  <c r="N250" i="2" l="1"/>
  <c r="M17" i="2" a="1"/>
  <c r="M17" i="2" l="1"/>
  <c r="D250" i="2" a="1"/>
  <c r="D250" i="2" l="1"/>
  <c r="H288" i="2" a="1"/>
  <c r="H288" i="2" l="1"/>
  <c r="I120" i="2" a="1"/>
  <c r="I120" i="2" l="1"/>
  <c r="L238" i="2" a="1"/>
  <c r="L238" i="2" l="1"/>
  <c r="H120" i="2" a="1"/>
  <c r="H120" i="2" l="1"/>
  <c r="I17" i="2" a="1"/>
  <c r="I17" i="2" l="1"/>
  <c r="G250" i="2" a="1"/>
  <c r="G250" i="2" l="1"/>
  <c r="L17" i="2" a="1"/>
  <c r="L17" i="2" l="1"/>
  <c r="N238" i="2" a="1"/>
  <c r="N238" i="2" l="1"/>
  <c r="J250" i="2" a="1"/>
  <c r="J250" i="2" l="1"/>
  <c r="H89" i="2" a="1"/>
  <c r="H89" i="2" l="1"/>
  <c r="H43" i="2" a="1"/>
  <c r="H43" i="2" l="1"/>
  <c r="N296" i="2" a="1"/>
  <c r="N296" i="2" l="1"/>
  <c r="D17" i="2" a="1"/>
  <c r="D17" i="2" l="1"/>
  <c r="G238" i="2" a="1"/>
  <c r="G238" i="2" l="1"/>
  <c r="I250" i="2" a="1"/>
  <c r="I250" i="2" l="1"/>
  <c r="G296" i="2" a="1"/>
  <c r="G296" i="2" l="1"/>
  <c r="I288" i="2" a="1"/>
  <c r="I288" i="2" l="1"/>
  <c r="J234" i="2" a="1"/>
  <c r="J234" i="2" l="1"/>
  <c r="F43" i="2" a="1"/>
  <c r="F43" i="2" l="1"/>
  <c r="E296" i="2" a="1"/>
  <c r="E296" i="2" l="1"/>
  <c r="K222" i="2" a="1"/>
  <c r="K222" i="2" l="1"/>
  <c r="D89" i="2" a="1"/>
  <c r="D89" i="2" l="1"/>
  <c r="N288" i="2" a="1"/>
  <c r="N288" i="2" l="1"/>
  <c r="I296" i="2" a="1"/>
  <c r="I296" i="2" l="1"/>
  <c r="K234" i="2" a="1"/>
  <c r="K234" i="2" l="1"/>
  <c r="F296" i="2" a="1"/>
  <c r="F296" i="2" l="1"/>
  <c r="D43" i="2" a="1"/>
  <c r="D43" i="2" l="1"/>
  <c r="C43" i="2" a="1"/>
  <c r="C43" i="2" l="1"/>
  <c r="E238" i="2" a="1"/>
  <c r="E238" i="2" l="1"/>
  <c r="F250" i="2" a="1"/>
  <c r="F250" i="2" l="1"/>
  <c r="I89" i="2" a="1"/>
  <c r="I89" i="2" l="1"/>
  <c r="K288" i="2" a="1"/>
  <c r="K288" i="2" l="1"/>
  <c r="G89" i="2" a="1"/>
  <c r="G89" i="2" l="1"/>
  <c r="D238" i="2" a="1"/>
  <c r="D238" i="2" l="1"/>
  <c r="N222" i="2" a="1"/>
  <c r="N222" i="2" l="1"/>
  <c r="K89" i="2" a="1"/>
  <c r="K89" i="2" l="1"/>
  <c r="J296" i="2" a="1"/>
  <c r="J296" i="2" l="1"/>
  <c r="F120" i="2" a="1"/>
  <c r="F120" i="2" l="1"/>
  <c r="H250" i="2" a="1"/>
  <c r="H250" i="2" l="1"/>
  <c r="L120" i="2" a="1"/>
  <c r="L120" i="2" l="1"/>
  <c r="L234" i="2" a="1"/>
  <c r="L234" i="2" l="1"/>
  <c r="N120" i="2" a="1"/>
  <c r="N120" i="2" l="1"/>
  <c r="E17" i="2" a="1"/>
  <c r="E17" i="2" l="1"/>
  <c r="F234" i="2" a="1"/>
  <c r="F234" i="2" l="1"/>
  <c r="L89" i="2" a="1"/>
  <c r="L89" i="2" l="1"/>
  <c r="N234" i="2" a="1"/>
  <c r="N234" i="2" l="1"/>
  <c r="E89" i="2" a="1"/>
  <c r="E89" i="2" l="1"/>
  <c r="M234" i="2" a="1"/>
  <c r="M234" i="2" l="1"/>
  <c r="G222" i="2" a="1"/>
  <c r="G222" i="2" l="1"/>
  <c r="K238" i="2" a="1"/>
  <c r="K238" i="2" l="1"/>
  <c r="M222" i="2" a="1"/>
  <c r="M222" i="2" l="1"/>
  <c r="G234" i="2" a="1"/>
  <c r="G234" i="2" l="1"/>
  <c r="E288" i="2" a="1"/>
  <c r="E288" i="2" l="1"/>
  <c r="N17" i="2" a="1"/>
  <c r="N17" i="2" l="1"/>
  <c r="M288" i="2" a="1"/>
  <c r="M288" i="2" l="1"/>
  <c r="E250" i="2" a="1"/>
  <c r="E250" i="2" l="1"/>
  <c r="D234" i="2" a="1"/>
  <c r="D234" i="2" l="1"/>
  <c r="K43" i="2" a="1"/>
  <c r="K43" i="2" l="1"/>
  <c r="I234" i="2" a="1"/>
  <c r="I234" i="2" l="1"/>
  <c r="I238" i="2" a="1"/>
  <c r="I238" i="2" l="1"/>
  <c r="J222" i="2" a="1"/>
  <c r="J222" i="2" l="1"/>
  <c r="C222" i="2" a="1"/>
  <c r="C222" i="2" l="1"/>
  <c r="J288" i="2" a="1"/>
  <c r="J288" i="2" l="1"/>
  <c r="F89" i="2" a="1"/>
  <c r="F89" i="2" l="1"/>
  <c r="M250" i="2" a="1"/>
  <c r="M250" i="2" l="1"/>
  <c r="M238" i="2" a="1"/>
  <c r="M238" i="2" l="1"/>
  <c r="E120" i="2" a="1"/>
  <c r="E120" i="2" l="1"/>
  <c r="F17" i="2" a="1"/>
  <c r="F17" i="2" l="1"/>
  <c r="C89" i="2" a="1"/>
  <c r="C89" i="2" l="1"/>
  <c r="K17" i="2" a="1"/>
  <c r="K17" i="2" l="1"/>
  <c r="I222" i="2" a="1"/>
  <c r="I222" i="2" l="1"/>
  <c r="E234" i="2" a="1"/>
  <c r="E234" i="2" l="1"/>
  <c r="J238" i="2" a="1"/>
  <c r="J238" i="2" l="1"/>
  <c r="F222" i="2" a="1"/>
  <c r="F222" i="2" l="1"/>
  <c r="D288" i="2" a="1"/>
  <c r="D288" i="2" l="1"/>
  <c r="C120" i="2" a="1"/>
  <c r="C120" i="2" l="1"/>
  <c r="L43" i="2" a="1"/>
  <c r="L43" i="2" l="1"/>
  <c r="H222" i="2" a="1"/>
  <c r="H222" i="2" l="1"/>
  <c r="C288" i="2" a="1"/>
  <c r="C288" i="2" l="1"/>
  <c r="C296" i="2" a="1"/>
  <c r="C296" i="2" l="1"/>
  <c r="L296" i="2" a="1"/>
  <c r="L296" i="2" l="1"/>
  <c r="C250" i="2" a="1"/>
  <c r="C250" i="2" l="1"/>
  <c r="M120" i="2" a="1"/>
  <c r="M120" i="2" l="1"/>
  <c r="L222" i="2" a="1"/>
  <c r="L222" i="2" l="1"/>
  <c r="M296" i="2" a="1"/>
  <c r="M296" i="2" l="1"/>
  <c r="L288" i="2" a="1"/>
  <c r="L288" i="2" l="1"/>
  <c r="M43" i="2" a="1"/>
  <c r="M43" i="2" l="1"/>
  <c r="H234" i="2" a="1"/>
  <c r="H234" i="2" l="1"/>
  <c r="H238" i="2" a="1"/>
  <c r="H238" i="2" l="1"/>
  <c r="M89" i="2" a="1"/>
  <c r="M89" i="2" l="1"/>
  <c r="E222" i="2" a="1"/>
  <c r="E222" i="2" l="1"/>
  <c r="H17" i="2" a="1"/>
  <c r="H17" i="2" l="1"/>
  <c r="K120" i="2" a="1"/>
  <c r="K120" i="2" l="1"/>
  <c r="L250" i="2" a="1"/>
  <c r="L250" i="2" l="1"/>
  <c r="H179" i="2" a="1"/>
  <c r="H179" i="2" l="1"/>
  <c r="N55" i="2" a="1"/>
  <c r="N55" i="2" l="1"/>
  <c r="G239" i="2" a="1"/>
  <c r="G239" i="2" l="1"/>
  <c r="N210" i="2" a="1"/>
  <c r="N210" i="2" l="1"/>
  <c r="J265" i="2" a="1"/>
  <c r="J265" i="2" l="1"/>
  <c r="H265" i="2" a="1"/>
  <c r="H265" i="2" l="1"/>
  <c r="N265" i="2" a="1"/>
  <c r="N265" i="2" l="1"/>
  <c r="H190" i="2" a="1"/>
  <c r="H190" i="2" l="1"/>
  <c r="I164" i="2" a="1"/>
  <c r="I164" i="2" l="1"/>
  <c r="E171" i="2" a="1"/>
  <c r="E171" i="2" l="1"/>
  <c r="F210" i="2" a="1"/>
  <c r="F210" i="2" l="1"/>
  <c r="G164" i="2" a="1"/>
  <c r="G164" i="2" l="1"/>
  <c r="D210" i="2" a="1"/>
  <c r="D210" i="2" l="1"/>
  <c r="D179" i="2" a="1"/>
  <c r="D179" i="2" l="1"/>
  <c r="G55" i="2" a="1"/>
  <c r="G55" i="2" l="1"/>
  <c r="E75" i="2" a="1"/>
  <c r="E75" i="2" l="1"/>
  <c r="L55" i="2" a="1"/>
  <c r="L55" i="2" l="1"/>
  <c r="M239" i="2" a="1"/>
  <c r="M239" i="2" l="1"/>
  <c r="I265" i="2" a="1"/>
  <c r="I265" i="2" l="1"/>
  <c r="J210" i="2" a="1"/>
  <c r="J210" i="2" l="1"/>
  <c r="C265" i="2" a="1"/>
  <c r="C265" i="2" l="1"/>
  <c r="K171" i="2" a="1"/>
  <c r="K171" i="2" l="1"/>
  <c r="E210" i="2" a="1"/>
  <c r="E210" i="2" l="1"/>
  <c r="C239" i="2" a="1"/>
  <c r="C239" i="2" l="1"/>
  <c r="E164" i="2" a="1"/>
  <c r="E164" i="2" l="1"/>
  <c r="L210" i="2" a="1"/>
  <c r="L210" i="2" l="1"/>
  <c r="D55" i="2" a="1"/>
  <c r="D55" i="2" l="1"/>
  <c r="G75" i="2" a="1"/>
  <c r="G75" i="2" l="1"/>
  <c r="J44" i="2" a="1"/>
  <c r="J44" i="2" l="1"/>
  <c r="M55" i="2" a="1"/>
  <c r="M55" i="2" l="1"/>
  <c r="G265" i="2" a="1"/>
  <c r="G265" i="2" l="1"/>
  <c r="E239" i="2" a="1"/>
  <c r="E239" i="2" l="1"/>
  <c r="C171" i="2" a="1"/>
  <c r="C171" i="2" l="1"/>
  <c r="N190" i="2" a="1"/>
  <c r="N190" i="2" l="1"/>
  <c r="I239" i="2" a="1"/>
  <c r="I239" i="2" l="1"/>
  <c r="L239" i="2" a="1"/>
  <c r="L239" i="2" l="1"/>
  <c r="M164" i="2" a="1"/>
  <c r="M164" i="2" l="1"/>
  <c r="N164" i="2" a="1"/>
  <c r="N164" i="2" l="1"/>
  <c r="C75" i="2" a="1"/>
  <c r="C75" i="2" l="1"/>
  <c r="I190" i="2" a="1"/>
  <c r="I190" i="2" l="1"/>
  <c r="J171" i="2" a="1"/>
  <c r="J171" i="2" l="1"/>
  <c r="K164" i="2" a="1"/>
  <c r="K164" i="2" l="1"/>
  <c r="K190" i="2" a="1"/>
  <c r="K190" i="2" l="1"/>
  <c r="J239" i="2" a="1"/>
  <c r="J239" i="2" l="1"/>
  <c r="H44" i="2" a="1"/>
  <c r="H44" i="2" l="1"/>
  <c r="G190" i="2" a="1"/>
  <c r="G190" i="2" l="1"/>
  <c r="D75" i="2" a="1"/>
  <c r="D75" i="2" l="1"/>
  <c r="G44" i="2" a="1"/>
  <c r="G44" i="2" l="1"/>
  <c r="D171" i="2" a="1"/>
  <c r="D171" i="2" l="1"/>
  <c r="I75" i="2" a="1"/>
  <c r="I75" i="2" l="1"/>
  <c r="I210" i="2" a="1"/>
  <c r="I210" i="2" l="1"/>
  <c r="C44" i="2" a="1"/>
  <c r="C44" i="2" l="1"/>
  <c r="F44" i="2" a="1"/>
  <c r="F44" i="2" l="1"/>
  <c r="E179" i="2" a="1"/>
  <c r="E179" i="2" l="1"/>
  <c r="J75" i="2" a="1"/>
  <c r="J75" i="2" l="1"/>
  <c r="N75" i="2" a="1"/>
  <c r="N75" i="2" l="1"/>
  <c r="J164" i="2" a="1"/>
  <c r="J164" i="2" l="1"/>
  <c r="H210" i="2" a="1"/>
  <c r="H210" i="2" l="1"/>
  <c r="L171" i="2" a="1"/>
  <c r="L171" i="2" l="1"/>
  <c r="L179" i="2" a="1"/>
  <c r="L179" i="2" l="1"/>
  <c r="H171" i="2" a="1"/>
  <c r="H171" i="2" l="1"/>
  <c r="M171" i="2" a="1"/>
  <c r="M171" i="2" l="1"/>
  <c r="H75" i="2" a="1"/>
  <c r="H75" i="2" l="1"/>
  <c r="K239" i="2" a="1"/>
  <c r="K239" i="2" l="1"/>
  <c r="L44" i="2" a="1"/>
  <c r="L44" i="2" l="1"/>
  <c r="E265" i="2" a="1"/>
  <c r="E265" i="2" l="1"/>
  <c r="L265" i="2" a="1"/>
  <c r="L265" i="2" l="1"/>
  <c r="J179" i="2" a="1"/>
  <c r="J179" i="2" l="1"/>
  <c r="I179" i="2" a="1"/>
  <c r="I179" i="2" l="1"/>
  <c r="L75" i="2" a="1"/>
  <c r="L75" i="2" l="1"/>
  <c r="D239" i="2" a="1"/>
  <c r="D239" i="2" l="1"/>
  <c r="M265" i="2" a="1"/>
  <c r="M265" i="2" l="1"/>
  <c r="M179" i="2" a="1"/>
  <c r="M179" i="2" l="1"/>
  <c r="E44" i="2" a="1"/>
  <c r="E44" i="2" l="1"/>
  <c r="F164" i="2" a="1"/>
  <c r="F164" i="2" l="1"/>
  <c r="C55" i="2" a="1"/>
  <c r="C55" i="2" l="1"/>
  <c r="D164" i="2" a="1"/>
  <c r="D164" i="2" l="1"/>
  <c r="H164" i="2" a="1"/>
  <c r="H164" i="2" l="1"/>
  <c r="D190" i="2" a="1"/>
  <c r="D190" i="2" l="1"/>
  <c r="F265" i="2" a="1"/>
  <c r="F265" i="2" l="1"/>
  <c r="F179" i="2" a="1"/>
  <c r="F179" i="2" l="1"/>
  <c r="L190" i="2" a="1"/>
  <c r="L190" i="2" l="1"/>
  <c r="K55" i="2" a="1"/>
  <c r="K55" i="2" l="1"/>
  <c r="I55" i="2" a="1"/>
  <c r="I55" i="2" l="1"/>
  <c r="K75" i="2" a="1"/>
  <c r="K75" i="2" l="1"/>
  <c r="H55" i="2" a="1"/>
  <c r="H55" i="2" l="1"/>
  <c r="H239" i="2" a="1"/>
  <c r="H239" i="2" l="1"/>
  <c r="M190" i="2" a="1"/>
  <c r="M190" i="2" l="1"/>
  <c r="G179" i="2" a="1"/>
  <c r="G179" i="2" l="1"/>
  <c r="K265" i="2" a="1"/>
  <c r="K265" i="2" l="1"/>
  <c r="M210" i="2" a="1"/>
  <c r="M210" i="2" l="1"/>
  <c r="F171" i="2" a="1"/>
  <c r="F171" i="2" l="1"/>
  <c r="J55" i="2" a="1"/>
  <c r="J55" i="2" l="1"/>
  <c r="C190" i="2" a="1"/>
  <c r="C190" i="2" l="1"/>
  <c r="K44" i="2" a="1"/>
  <c r="K44" i="2" l="1"/>
  <c r="J190" i="2" a="1"/>
  <c r="J190" i="2" l="1"/>
  <c r="N171" i="2" a="1"/>
  <c r="N171" i="2" l="1"/>
  <c r="M75" i="2" a="1"/>
  <c r="M75" i="2" l="1"/>
  <c r="K210" i="2" a="1"/>
  <c r="K210" i="2" l="1"/>
  <c r="N44" i="2" a="1"/>
  <c r="N44" i="2" l="1"/>
  <c r="M44" i="2" a="1"/>
  <c r="M44" i="2" l="1"/>
  <c r="C164" i="2" a="1"/>
  <c r="C164" i="2" l="1"/>
  <c r="F239" i="2" a="1"/>
  <c r="F239" i="2" l="1"/>
  <c r="C210" i="2" a="1"/>
  <c r="C210" i="2" l="1"/>
  <c r="E190" i="2" a="1"/>
  <c r="E190" i="2" l="1"/>
  <c r="E55" i="2" a="1"/>
  <c r="E55" i="2" l="1"/>
  <c r="K179" i="2" a="1"/>
  <c r="K179" i="2" l="1"/>
  <c r="C179" i="2" a="1"/>
  <c r="C179" i="2" l="1"/>
  <c r="I44" i="2" a="1"/>
  <c r="I44" i="2" l="1"/>
  <c r="I171" i="2" a="1"/>
  <c r="I171" i="2" l="1"/>
  <c r="N239" i="2" a="1"/>
  <c r="N239" i="2" l="1"/>
  <c r="D265" i="2" a="1"/>
  <c r="D265" i="2" l="1"/>
  <c r="F190" i="2" a="1"/>
  <c r="F190" i="2" l="1"/>
  <c r="N179" i="2" a="1"/>
  <c r="N179" i="2" l="1"/>
  <c r="G210" i="2" a="1"/>
  <c r="G210" i="2" l="1"/>
  <c r="G171" i="2" a="1"/>
  <c r="G171" i="2" l="1"/>
  <c r="F75" i="2" a="1"/>
  <c r="F75" i="2" l="1"/>
  <c r="D44" i="2" a="1"/>
  <c r="D44" i="2" l="1"/>
  <c r="F55" i="2" a="1"/>
  <c r="F55" i="2" l="1"/>
  <c r="L164" i="2" a="1"/>
  <c r="L164" i="2" l="1"/>
  <c r="E80" i="2" a="1"/>
  <c r="E80" i="2" l="1"/>
  <c r="H301" i="2" a="1"/>
  <c r="H301" i="2" l="1"/>
  <c r="M143" i="2" a="1"/>
  <c r="M143" i="2" l="1"/>
  <c r="I66" i="2" a="1"/>
  <c r="I66" i="2" l="1"/>
  <c r="L301" i="2" a="1"/>
  <c r="L301" i="2" l="1"/>
  <c r="K80" i="2" a="1"/>
  <c r="K80" i="2" l="1"/>
  <c r="N169" i="2" a="1"/>
  <c r="N169" i="2" l="1"/>
  <c r="C143" i="2" a="1"/>
  <c r="C143" i="2" l="1"/>
  <c r="M172" i="2" a="1"/>
  <c r="M172" i="2" l="1"/>
  <c r="L169" i="2" a="1"/>
  <c r="L169" i="2" l="1"/>
  <c r="G80" i="2" a="1"/>
  <c r="G80" i="2" l="1"/>
  <c r="H143" i="2" a="1"/>
  <c r="H143" i="2" l="1"/>
  <c r="F213" i="2" a="1"/>
  <c r="F213" i="2" l="1"/>
  <c r="I172" i="2" a="1"/>
  <c r="I172" i="2" l="1"/>
  <c r="G143" i="2" a="1"/>
  <c r="G143" i="2" l="1"/>
  <c r="E213" i="2" a="1"/>
  <c r="E213" i="2" l="1"/>
  <c r="C80" i="2" a="1"/>
  <c r="C80" i="2" l="1"/>
  <c r="D194" i="2" a="1"/>
  <c r="D194" i="2" l="1"/>
  <c r="C66" i="2" a="1"/>
  <c r="C66" i="2" l="1"/>
  <c r="M213" i="2" a="1"/>
  <c r="M213" i="2" l="1"/>
  <c r="J51" i="2" a="1"/>
  <c r="J51" i="2" l="1"/>
  <c r="L66" i="2" a="1"/>
  <c r="L66" i="2" l="1"/>
  <c r="G194" i="2" a="1"/>
  <c r="G194" i="2" l="1"/>
  <c r="G138" i="2" a="1"/>
  <c r="G138" i="2" l="1"/>
  <c r="L194" i="2" a="1"/>
  <c r="L194" i="2" l="1"/>
  <c r="J213" i="2" a="1"/>
  <c r="J213" i="2" l="1"/>
  <c r="D169" i="2" a="1"/>
  <c r="D169" i="2" l="1"/>
  <c r="F143" i="2" a="1"/>
  <c r="F143" i="2" l="1"/>
  <c r="E51" i="2" a="1"/>
  <c r="E51" i="2" l="1"/>
  <c r="C213" i="2" a="1"/>
  <c r="C213" i="2" l="1"/>
  <c r="I51" i="2" a="1"/>
  <c r="I51" i="2" l="1"/>
  <c r="C172" i="2" a="1"/>
  <c r="C172" i="2" l="1"/>
  <c r="L213" i="2" a="1"/>
  <c r="L213" i="2" l="1"/>
  <c r="K301" i="2" a="1"/>
  <c r="K301" i="2" l="1"/>
  <c r="F66" i="2" a="1"/>
  <c r="F66" i="2" l="1"/>
  <c r="L143" i="2" a="1"/>
  <c r="L143" i="2" l="1"/>
  <c r="H66" i="2" a="1"/>
  <c r="H66" i="2" l="1"/>
  <c r="M66" i="2" a="1"/>
  <c r="M66" i="2" l="1"/>
  <c r="K143" i="2" a="1"/>
  <c r="K143" i="2" l="1"/>
  <c r="F194" i="2" a="1"/>
  <c r="F194" i="2" l="1"/>
  <c r="K169" i="2" a="1"/>
  <c r="K169" i="2" l="1"/>
  <c r="N301" i="2" a="1"/>
  <c r="N301" i="2" l="1"/>
  <c r="J80" i="2" a="1"/>
  <c r="J80" i="2" l="1"/>
  <c r="K138" i="2" a="1"/>
  <c r="K138" i="2" l="1"/>
  <c r="D51" i="2" a="1"/>
  <c r="D51" i="2" l="1"/>
  <c r="I194" i="2" a="1"/>
  <c r="I194" i="2" l="1"/>
  <c r="G172" i="2" a="1"/>
  <c r="G172" i="2" l="1"/>
  <c r="E138" i="2" a="1"/>
  <c r="E138" i="2" l="1"/>
  <c r="H80" i="2" a="1"/>
  <c r="H80" i="2" l="1"/>
  <c r="M51" i="2" a="1"/>
  <c r="M51" i="2" l="1"/>
  <c r="E301" i="2" a="1"/>
  <c r="E301" i="2" l="1"/>
  <c r="C138" i="2" a="1"/>
  <c r="C138" i="2" l="1"/>
  <c r="G66" i="2" a="1"/>
  <c r="G66" i="2" l="1"/>
  <c r="I143" i="2" a="1"/>
  <c r="I143" i="2" l="1"/>
  <c r="G51" i="2" a="1"/>
  <c r="G51" i="2" l="1"/>
  <c r="M194" i="2" a="1"/>
  <c r="M194" i="2" l="1"/>
  <c r="N66" i="2" a="1"/>
  <c r="N66" i="2" l="1"/>
  <c r="D143" i="2" a="1"/>
  <c r="D143" i="2" l="1"/>
  <c r="H169" i="2" a="1"/>
  <c r="H169" i="2" l="1"/>
  <c r="E143" i="2" a="1"/>
  <c r="E143" i="2" l="1"/>
  <c r="H194" i="2" a="1"/>
  <c r="H194" i="2" l="1"/>
  <c r="M80" i="2" a="1"/>
  <c r="M80" i="2" l="1"/>
  <c r="K194" i="2" a="1"/>
  <c r="K194" i="2" l="1"/>
  <c r="D213" i="2" a="1"/>
  <c r="D213" i="2" l="1"/>
  <c r="N213" i="2" a="1"/>
  <c r="N213" i="2" l="1"/>
  <c r="L138" i="2" a="1"/>
  <c r="L138" i="2" l="1"/>
  <c r="E194" i="2" a="1"/>
  <c r="E194" i="2" l="1"/>
  <c r="E66" i="2" a="1"/>
  <c r="E66" i="2" l="1"/>
  <c r="E169" i="2" a="1"/>
  <c r="E169" i="2" l="1"/>
  <c r="G301" i="2" a="1"/>
  <c r="G301" i="2" l="1"/>
  <c r="M169" i="2" a="1"/>
  <c r="M169" i="2" l="1"/>
  <c r="C169" i="2" a="1"/>
  <c r="C169" i="2"/>
  <c r="L172" i="2" a="1"/>
  <c r="L172" i="2"/>
  <c r="J172" i="2" a="1"/>
  <c r="J172" i="2"/>
  <c r="I80" i="2" a="1"/>
  <c r="I80" i="2"/>
  <c r="K172" i="2" a="1"/>
  <c r="K172" i="2"/>
  <c r="F301" i="2" a="1"/>
  <c r="F301" i="2"/>
  <c r="D301" i="2" a="1"/>
  <c r="D301" i="2"/>
  <c r="N51" i="2" a="1"/>
  <c r="N51" i="2"/>
  <c r="F51" i="2" a="1"/>
  <c r="F51" i="2"/>
  <c r="F169" i="2" a="1"/>
  <c r="F169" i="2"/>
  <c r="K66" i="2" a="1"/>
  <c r="K66" i="2"/>
  <c r="J301" i="2" a="1"/>
  <c r="J301" i="2"/>
  <c r="D172" i="2" a="1"/>
  <c r="D172" i="2"/>
  <c r="M138" i="2" a="1"/>
  <c r="M138" i="2"/>
  <c r="D138" i="2" a="1"/>
  <c r="D138" i="2"/>
  <c r="G169" i="2" a="1"/>
  <c r="G169" i="2"/>
  <c r="J194" i="2" a="1"/>
  <c r="J194" i="2"/>
  <c r="J138" i="2" a="1"/>
  <c r="J138" i="2"/>
  <c r="D80" i="2" a="1"/>
  <c r="D80" i="2"/>
  <c r="M301" i="2" a="1"/>
  <c r="M301" i="2"/>
  <c r="J169" i="2" a="1"/>
  <c r="J169" i="2"/>
  <c r="L51" i="2" a="1"/>
  <c r="L51" i="2"/>
  <c r="J66" i="2" a="1"/>
  <c r="J66" i="2"/>
  <c r="K213" i="2" a="1"/>
  <c r="K213" i="2"/>
  <c r="G213" i="2" a="1"/>
  <c r="G213" i="2"/>
  <c r="F138" i="2" a="1"/>
  <c r="F138" i="2"/>
  <c r="N138" i="2" a="1"/>
  <c r="N138" i="2"/>
  <c r="K51" i="2" a="1"/>
  <c r="K51" i="2"/>
  <c r="N172" i="2" a="1"/>
  <c r="N172" i="2"/>
  <c r="C194" i="2" a="1"/>
  <c r="C194" i="2"/>
  <c r="L80" i="2" a="1"/>
  <c r="L80" i="2"/>
  <c r="N143" i="2" a="1"/>
  <c r="N143" i="2"/>
  <c r="H51" i="2" a="1"/>
  <c r="H51" i="2"/>
  <c r="I301" i="2" a="1"/>
  <c r="I301" i="2"/>
  <c r="E172" i="2" a="1"/>
  <c r="E172" i="2"/>
  <c r="I213" i="2" a="1"/>
  <c r="I213" i="2"/>
  <c r="N80" i="2" a="1"/>
  <c r="N80" i="2"/>
  <c r="H138" i="2" a="1"/>
  <c r="H138" i="2"/>
  <c r="F172" i="2" a="1"/>
  <c r="F172" i="2"/>
  <c r="D66" i="2" a="1"/>
  <c r="D66" i="2"/>
  <c r="I138" i="2" a="1"/>
  <c r="I138" i="2"/>
  <c r="F80" i="2" a="1"/>
  <c r="F80" i="2"/>
  <c r="C301" i="2" a="1"/>
  <c r="C301" i="2"/>
  <c r="J143" i="2" a="1"/>
  <c r="J143" i="2"/>
  <c r="N194" i="2" a="1"/>
  <c r="N194" i="2"/>
  <c r="H172" i="2" a="1"/>
  <c r="H172" i="2"/>
  <c r="H213" i="2" a="1"/>
  <c r="H213" i="2"/>
  <c r="I169" i="2" a="1"/>
  <c r="I169" i="2"/>
  <c r="C51" i="2" a="1"/>
  <c r="C51" i="2"/>
  <c r="C84" i="2" a="1"/>
  <c r="C84" i="2"/>
  <c r="K314" i="2" a="1"/>
  <c r="K314" i="2"/>
  <c r="L298" i="2" a="1"/>
  <c r="L298" i="2"/>
  <c r="I314" i="2" a="1"/>
  <c r="I314" i="2"/>
  <c r="D219" i="2" a="1"/>
  <c r="D219" i="2"/>
  <c r="I219" i="2" a="1"/>
  <c r="I219" i="2"/>
  <c r="E314" i="2" a="1"/>
  <c r="E314" i="2"/>
  <c r="J298" i="2" a="1"/>
  <c r="J298" i="2"/>
  <c r="E40" i="2" a="1"/>
  <c r="E40" i="2"/>
  <c r="L22" i="2" a="1"/>
  <c r="L22" i="2"/>
  <c r="I22" i="2" a="1"/>
  <c r="I22" i="2"/>
  <c r="F70" i="2" a="1"/>
  <c r="F70" i="2"/>
  <c r="M40" i="2" a="1"/>
  <c r="M40" i="2"/>
  <c r="K211" i="2" a="1"/>
  <c r="K211" i="2"/>
  <c r="J56" i="2" a="1"/>
  <c r="J56" i="2"/>
  <c r="N70" i="2" a="1"/>
  <c r="N70" i="2"/>
  <c r="K56" i="2" a="1"/>
  <c r="K56" i="2"/>
  <c r="H26" i="2" a="1"/>
  <c r="H26" i="2"/>
  <c r="G314" i="2" a="1"/>
  <c r="G314" i="2"/>
  <c r="C56" i="2" a="1"/>
  <c r="C56" i="2"/>
  <c r="F211" i="2" a="1"/>
  <c r="F211" i="2"/>
  <c r="K84" i="2" a="1"/>
  <c r="K84" i="2"/>
  <c r="D40" i="2" a="1"/>
  <c r="D40" i="2"/>
  <c r="J219" i="2" a="1"/>
  <c r="J219" i="2"/>
  <c r="F298" i="2" a="1"/>
  <c r="F298" i="2"/>
  <c r="L84" i="2" a="1"/>
  <c r="L84" i="2"/>
  <c r="K70" i="2" a="1"/>
  <c r="K70" i="2"/>
  <c r="N211" i="2" a="1"/>
  <c r="N211" i="2"/>
  <c r="I26" i="2" a="1"/>
  <c r="I26" i="2"/>
  <c r="K219" i="2" a="1"/>
  <c r="K219" i="2"/>
  <c r="K40" i="2" a="1"/>
  <c r="K40" i="2"/>
  <c r="G298" i="2" a="1"/>
  <c r="G298" i="2"/>
  <c r="F26" i="2" a="1"/>
  <c r="F26" i="2"/>
  <c r="N22" i="2" a="1"/>
  <c r="N22" i="2"/>
  <c r="J70" i="2" a="1"/>
  <c r="J70" i="2"/>
  <c r="M56" i="2" a="1"/>
  <c r="M56" i="2"/>
  <c r="H298" i="2" a="1"/>
  <c r="H298" i="2"/>
  <c r="C298" i="2" a="1"/>
  <c r="C298" i="2"/>
  <c r="J40" i="2" a="1"/>
  <c r="J40" i="2"/>
  <c r="E22" i="2" a="1"/>
  <c r="E22" i="2"/>
  <c r="G56" i="2" a="1"/>
  <c r="G56" i="2"/>
  <c r="M26" i="2" a="1"/>
  <c r="M26" i="2"/>
  <c r="I40" i="2" a="1"/>
  <c r="I40" i="2"/>
  <c r="K22" i="2" a="1"/>
  <c r="K22" i="2"/>
  <c r="E70" i="2" a="1"/>
  <c r="E70" i="2"/>
  <c r="L26" i="2" a="1"/>
  <c r="L26" i="2"/>
  <c r="C314" i="2" a="1"/>
  <c r="C314" i="2"/>
  <c r="C26" i="2" a="1"/>
  <c r="C26" i="2"/>
  <c r="L70" i="2" a="1"/>
  <c r="L70" i="2"/>
  <c r="D84" i="2" a="1"/>
  <c r="D84" i="2"/>
  <c r="L56" i="2" a="1"/>
  <c r="L56" i="2"/>
  <c r="K298" i="2" a="1"/>
  <c r="K298" i="2"/>
  <c r="G26" i="2" a="1"/>
  <c r="G26" i="2"/>
  <c r="D26" i="2" a="1"/>
  <c r="D26" i="2"/>
  <c r="D314" i="2" a="1"/>
  <c r="D314" i="2"/>
  <c r="G22" i="2" a="1"/>
  <c r="G22" i="2"/>
  <c r="E56" i="2" a="1"/>
  <c r="E56" i="2"/>
  <c r="I70" i="2" a="1"/>
  <c r="I70" i="2"/>
  <c r="H314" i="2" a="1"/>
  <c r="H314" i="2"/>
  <c r="D211" i="2" a="1"/>
  <c r="D211" i="2"/>
  <c r="E211" i="2" a="1"/>
  <c r="E211" i="2"/>
  <c r="M314" i="2" a="1"/>
  <c r="M314" i="2"/>
  <c r="J314" i="2" a="1"/>
  <c r="J314" i="2"/>
  <c r="I56" i="2" a="1"/>
  <c r="I56" i="2"/>
  <c r="N298" i="2" a="1"/>
  <c r="N298" i="2"/>
  <c r="C219" i="2" a="1"/>
  <c r="C219" i="2"/>
  <c r="L314" i="2" a="1"/>
  <c r="L314" i="2"/>
  <c r="H22" i="2" a="1"/>
  <c r="H22" i="2"/>
  <c r="F56" i="2" a="1"/>
  <c r="F56" i="2"/>
  <c r="E26" i="2" a="1"/>
  <c r="E26" i="2"/>
  <c r="L211" i="2" a="1"/>
  <c r="L211" i="2"/>
  <c r="I298" i="2" a="1"/>
  <c r="I298" i="2"/>
  <c r="E298" i="2" a="1"/>
  <c r="E298" i="2"/>
  <c r="M211" i="2" a="1"/>
  <c r="M211" i="2"/>
  <c r="J26" i="2" a="1"/>
  <c r="J26" i="2"/>
  <c r="C211" i="2" a="1"/>
  <c r="C211" i="2"/>
  <c r="H56" i="2" a="1"/>
  <c r="H56" i="2"/>
  <c r="F22" i="2" a="1"/>
  <c r="F22" i="2"/>
  <c r="D56" i="2" a="1"/>
  <c r="D56" i="2"/>
  <c r="J211" i="2" a="1"/>
  <c r="J211" i="2"/>
  <c r="G211" i="2" a="1"/>
  <c r="G211" i="2"/>
  <c r="K26" i="2" a="1"/>
  <c r="K26" i="2"/>
  <c r="G219" i="2" a="1"/>
  <c r="G219" i="2"/>
  <c r="M22" i="2" a="1"/>
  <c r="M22" i="2"/>
  <c r="J84" i="2" a="1"/>
  <c r="J84" i="2"/>
  <c r="L219" i="2" a="1"/>
  <c r="L219" i="2"/>
  <c r="D70" i="2" a="1"/>
  <c r="D70" i="2"/>
  <c r="F84" i="2" a="1"/>
  <c r="F84" i="2"/>
  <c r="E219" i="2" a="1"/>
  <c r="E219" i="2"/>
  <c r="H219" i="2" a="1"/>
  <c r="H219" i="2"/>
  <c r="I84" i="2" a="1"/>
  <c r="I84" i="2"/>
  <c r="C70" i="2" a="1"/>
  <c r="C70" i="2"/>
  <c r="C40" i="2" a="1"/>
  <c r="C40" i="2"/>
  <c r="G40" i="2" a="1"/>
  <c r="G40" i="2"/>
  <c r="D298" i="2" a="1"/>
  <c r="D298" i="2"/>
  <c r="M70" i="2" a="1"/>
  <c r="M70" i="2"/>
  <c r="C22" i="2" a="1"/>
  <c r="C22" i="2"/>
  <c r="M219" i="2" a="1"/>
  <c r="M219" i="2"/>
  <c r="H211" i="2" a="1"/>
  <c r="H211" i="2"/>
  <c r="H84" i="2" a="1"/>
  <c r="H84" i="2"/>
  <c r="J22" i="2" a="1"/>
  <c r="J22" i="2"/>
  <c r="L40" i="2" a="1"/>
  <c r="L40" i="2"/>
  <c r="N84" i="2" a="1"/>
  <c r="N84" i="2"/>
  <c r="E84" i="2" a="1"/>
  <c r="E84" i="2"/>
  <c r="H40" i="2" a="1"/>
  <c r="H40" i="2"/>
  <c r="N40" i="2" a="1"/>
  <c r="N40" i="2"/>
  <c r="G70" i="2" a="1"/>
  <c r="G70" i="2"/>
  <c r="F219" i="2" a="1"/>
  <c r="F219" i="2"/>
  <c r="M84" i="2" a="1"/>
  <c r="M84" i="2"/>
  <c r="N314" i="2" a="1"/>
  <c r="N314" i="2"/>
  <c r="G84" i="2" a="1"/>
  <c r="G84" i="2"/>
  <c r="N219" i="2" a="1"/>
  <c r="N219" i="2"/>
  <c r="F40" i="2" a="1"/>
  <c r="F40" i="2"/>
  <c r="N56" i="2" a="1"/>
  <c r="N56" i="2"/>
  <c r="N26" i="2" a="1"/>
  <c r="N26" i="2"/>
  <c r="I211" i="2" a="1"/>
  <c r="I211" i="2"/>
  <c r="F314" i="2" a="1"/>
  <c r="F314" i="2"/>
  <c r="M298" i="2" a="1"/>
  <c r="M298" i="2"/>
  <c r="D22" i="2" a="1"/>
  <c r="D22" i="2"/>
  <c r="H70" i="2" a="1"/>
  <c r="H70" i="2"/>
  <c r="F216" i="2" a="1"/>
  <c r="F216" i="2"/>
  <c r="F115" i="2" a="1"/>
  <c r="F115" i="2"/>
  <c r="K216" i="2" a="1"/>
  <c r="K216" i="2"/>
  <c r="K28" i="2" a="1"/>
  <c r="K28" i="2"/>
  <c r="G111" i="2" a="1"/>
  <c r="G111" i="2"/>
  <c r="M221" i="2" a="1"/>
  <c r="M221" i="2"/>
  <c r="H111" i="2" a="1"/>
  <c r="H111" i="2"/>
  <c r="G216" i="2" a="1"/>
  <c r="G216" i="2"/>
  <c r="G101" i="2" a="1"/>
  <c r="G101" i="2"/>
  <c r="K126" i="2" a="1"/>
  <c r="K126" i="2"/>
  <c r="H126" i="2" a="1"/>
  <c r="H126" i="2"/>
  <c r="G126" i="2" a="1"/>
  <c r="G126" i="2"/>
  <c r="F48" i="2" a="1"/>
  <c r="F48" i="2"/>
  <c r="J287" i="2" a="1"/>
  <c r="J287" i="2"/>
  <c r="H221" i="2" a="1"/>
  <c r="H221" i="2"/>
  <c r="F221" i="2" a="1"/>
  <c r="F221" i="2"/>
  <c r="L216" i="2" a="1"/>
  <c r="L216" i="2"/>
  <c r="G257" i="2" a="1"/>
  <c r="G257" i="2"/>
  <c r="K48" i="2" a="1"/>
  <c r="K48" i="2"/>
  <c r="H216" i="2" a="1"/>
  <c r="H216" i="2"/>
  <c r="E216" i="2" a="1"/>
  <c r="E216" i="2"/>
  <c r="I101" i="2" a="1"/>
  <c r="I101" i="2"/>
  <c r="D216" i="2" a="1"/>
  <c r="D216" i="2"/>
  <c r="F28" i="2" a="1"/>
  <c r="F28" i="2"/>
  <c r="K115" i="2" a="1"/>
  <c r="K115" i="2"/>
  <c r="E101" i="2" a="1"/>
  <c r="E101" i="2"/>
  <c r="M111" i="2" a="1"/>
  <c r="M111" i="2"/>
  <c r="L101" i="2" a="1"/>
  <c r="L101" i="2"/>
  <c r="G115" i="2" a="1"/>
  <c r="G115" i="2"/>
  <c r="H28" i="2" a="1"/>
  <c r="H28" i="2"/>
  <c r="G221" i="2" a="1"/>
  <c r="G221" i="2"/>
  <c r="E221" i="2" a="1"/>
  <c r="E221" i="2"/>
  <c r="J126" i="2" a="1"/>
  <c r="J126" i="2"/>
  <c r="J257" i="2" a="1"/>
  <c r="J257" i="2"/>
  <c r="N287" i="2" a="1"/>
  <c r="N287" i="2"/>
  <c r="I216" i="2" a="1"/>
  <c r="I216" i="2"/>
  <c r="J101" i="2" a="1"/>
  <c r="J101" i="2"/>
  <c r="E126" i="2" a="1"/>
  <c r="E126" i="2"/>
  <c r="C216" i="2" a="1"/>
  <c r="C216" i="2"/>
  <c r="K111" i="2" a="1"/>
  <c r="K111" i="2"/>
  <c r="M115" i="2" a="1"/>
  <c r="M115" i="2"/>
  <c r="F126" i="2" a="1"/>
  <c r="F126" i="2"/>
  <c r="D48" i="2" a="1"/>
  <c r="D48" i="2"/>
  <c r="D115" i="2" a="1"/>
  <c r="D115" i="2"/>
  <c r="D257" i="2" a="1"/>
  <c r="D257" i="2"/>
  <c r="H257" i="2" a="1"/>
  <c r="H257" i="2"/>
  <c r="L221" i="2" a="1"/>
  <c r="L221" i="2"/>
  <c r="G287" i="2" a="1"/>
  <c r="G287" i="2"/>
  <c r="I257" i="2" a="1"/>
  <c r="I257" i="2"/>
  <c r="E111" i="2" a="1"/>
  <c r="E111" i="2"/>
  <c r="M28" i="2" a="1"/>
  <c r="M28" i="2"/>
  <c r="J115" i="2" a="1"/>
  <c r="J115" i="2"/>
  <c r="M126" i="2" a="1"/>
  <c r="M126" i="2"/>
  <c r="K257" i="2" a="1"/>
  <c r="K257" i="2"/>
  <c r="C28" i="2" a="1"/>
  <c r="C28" i="2"/>
  <c r="F101" i="2" a="1"/>
  <c r="F101" i="2"/>
  <c r="C257" i="2" a="1"/>
  <c r="C257" i="2"/>
  <c r="C48" i="2" a="1"/>
  <c r="C48" i="2"/>
  <c r="E48" i="2" a="1"/>
  <c r="E48" i="2"/>
  <c r="C101" i="2" a="1"/>
  <c r="C101" i="2"/>
  <c r="G48" i="2" a="1"/>
  <c r="G48" i="2"/>
  <c r="E28" i="2" a="1"/>
  <c r="E28" i="2"/>
  <c r="N111" i="2" a="1"/>
  <c r="N111" i="2"/>
  <c r="I48" i="2" a="1"/>
  <c r="I48" i="2"/>
  <c r="H101" i="2" a="1"/>
  <c r="H101" i="2"/>
  <c r="N126" i="2" a="1"/>
  <c r="N126" i="2"/>
  <c r="D221" i="2" a="1"/>
  <c r="D221" i="2"/>
  <c r="I28" i="2" a="1"/>
  <c r="I28" i="2"/>
  <c r="I111" i="2" a="1"/>
  <c r="I111" i="2"/>
  <c r="L126" i="2" a="1"/>
  <c r="L126" i="2"/>
  <c r="N257" i="2" a="1"/>
  <c r="N257" i="2"/>
  <c r="D287" i="2" a="1"/>
  <c r="D287" i="2"/>
  <c r="K101" i="2" a="1"/>
  <c r="K101" i="2"/>
  <c r="N28" i="2" a="1"/>
  <c r="N28" i="2"/>
  <c r="K287" i="2" a="1"/>
  <c r="K287" i="2"/>
  <c r="E287" i="2" a="1"/>
  <c r="E287" i="2"/>
  <c r="L115" i="2" a="1"/>
  <c r="L115" i="2"/>
  <c r="M216" i="2" a="1"/>
  <c r="M216" i="2"/>
  <c r="L48" i="2" a="1"/>
  <c r="L48" i="2"/>
  <c r="H287" i="2" a="1"/>
  <c r="H287" i="2"/>
  <c r="E115" i="2" a="1"/>
  <c r="E115" i="2"/>
  <c r="L257" i="2" a="1"/>
  <c r="L257" i="2"/>
  <c r="C287" i="2" a="1"/>
  <c r="C287" i="2"/>
  <c r="C221" i="2" a="1"/>
  <c r="C221" i="2"/>
  <c r="F257" i="2" a="1"/>
  <c r="F257" i="2"/>
  <c r="I221" i="2" a="1"/>
  <c r="I221" i="2"/>
  <c r="N221" i="2" a="1"/>
  <c r="N221" i="2"/>
  <c r="M257" i="2" a="1"/>
  <c r="M257" i="2"/>
  <c r="J111" i="2" a="1"/>
  <c r="J111" i="2"/>
  <c r="D28" i="2" a="1"/>
  <c r="D28" i="2"/>
  <c r="C115" i="2" a="1"/>
  <c r="C115" i="2"/>
  <c r="N115" i="2" a="1"/>
  <c r="N115" i="2"/>
  <c r="F111" i="2" a="1"/>
  <c r="F111" i="2"/>
  <c r="I115" i="2" a="1"/>
  <c r="I115" i="2"/>
  <c r="N101" i="2" a="1"/>
  <c r="N101" i="2"/>
  <c r="K221" i="2" a="1"/>
  <c r="K221" i="2"/>
  <c r="N216" i="2" a="1"/>
  <c r="N216" i="2"/>
  <c r="I287" i="2" a="1"/>
  <c r="I287" i="2"/>
  <c r="J48" i="2" a="1"/>
  <c r="J48" i="2"/>
  <c r="G28" i="2" a="1"/>
  <c r="G28" i="2"/>
  <c r="C111" i="2" a="1"/>
  <c r="C111" i="2"/>
  <c r="D111" i="2" a="1"/>
  <c r="D111" i="2"/>
  <c r="M287" i="2" a="1"/>
  <c r="M287" i="2"/>
  <c r="D101" i="2" a="1"/>
  <c r="D101" i="2"/>
  <c r="H48" i="2" a="1"/>
  <c r="H48" i="2"/>
  <c r="I126" i="2" a="1"/>
  <c r="I126" i="2"/>
  <c r="D126" i="2" a="1"/>
  <c r="D126" i="2"/>
  <c r="N48" i="2" a="1"/>
  <c r="N48" i="2"/>
  <c r="M48" i="2" a="1"/>
  <c r="M48" i="2"/>
  <c r="M101" i="2" a="1"/>
  <c r="M101" i="2"/>
  <c r="J28" i="2" a="1"/>
  <c r="J28" i="2"/>
  <c r="L111" i="2" a="1"/>
  <c r="L111" i="2"/>
  <c r="L28" i="2" a="1"/>
  <c r="L28" i="2"/>
  <c r="F287" i="2" a="1"/>
  <c r="F287" i="2"/>
  <c r="E257" i="2" a="1"/>
  <c r="E257" i="2"/>
  <c r="J221" i="2" a="1"/>
  <c r="J221" i="2"/>
  <c r="C126" i="2" a="1"/>
  <c r="C126" i="2"/>
  <c r="L287" i="2" a="1"/>
  <c r="L287" i="2"/>
  <c r="H115" i="2" a="1"/>
  <c r="H115" i="2"/>
  <c r="J216" i="2" a="1"/>
  <c r="J216" i="2"/>
  <c r="M308" i="2" a="1"/>
  <c r="M308" i="2"/>
  <c r="K308" i="2" a="1"/>
  <c r="K308" i="2"/>
  <c r="C35" i="2" a="1"/>
  <c r="C35" i="2"/>
  <c r="H262" i="2" a="1"/>
  <c r="H262" i="2"/>
  <c r="L254" i="2" a="1"/>
  <c r="L254" i="2"/>
  <c r="F165" i="2" a="1"/>
  <c r="F165" i="2"/>
  <c r="F226" i="2" a="1"/>
  <c r="F226" i="2"/>
  <c r="M251" i="2" a="1"/>
  <c r="M251" i="2"/>
  <c r="N251" i="2" a="1"/>
  <c r="N251" i="2"/>
  <c r="D147" i="2" a="1"/>
  <c r="D147" i="2"/>
  <c r="J262" i="2" a="1"/>
  <c r="J262" i="2"/>
  <c r="L35" i="2" a="1"/>
  <c r="L35" i="2"/>
  <c r="C165" i="2" a="1"/>
  <c r="C165" i="2"/>
  <c r="M151" i="2" a="1"/>
  <c r="M151" i="2"/>
  <c r="L151" i="2" a="1"/>
  <c r="L151" i="2"/>
  <c r="H226" i="2" a="1"/>
  <c r="H226" i="2"/>
  <c r="L149" i="2" a="1"/>
  <c r="L149" i="2"/>
  <c r="I151" i="2" a="1"/>
  <c r="I151" i="2"/>
  <c r="M149" i="2" a="1"/>
  <c r="M149" i="2"/>
  <c r="F149" i="2" a="1"/>
  <c r="F149" i="2"/>
  <c r="L147" i="2" a="1"/>
  <c r="L147" i="2"/>
  <c r="N254" i="2" a="1"/>
  <c r="N254" i="2"/>
  <c r="K165" i="2" a="1"/>
  <c r="K165" i="2"/>
  <c r="I147" i="2" a="1"/>
  <c r="I147" i="2"/>
  <c r="H165" i="2" a="1"/>
  <c r="H165" i="2"/>
  <c r="I149" i="2" a="1"/>
  <c r="I149" i="2"/>
  <c r="G308" i="2" a="1"/>
  <c r="G308" i="2"/>
  <c r="J308" i="2" a="1"/>
  <c r="J308" i="2"/>
  <c r="E226" i="2" a="1"/>
  <c r="E226" i="2"/>
  <c r="F262" i="2" a="1"/>
  <c r="F262" i="2"/>
  <c r="F151" i="2" a="1"/>
  <c r="F151" i="2"/>
  <c r="I254" i="2" a="1"/>
  <c r="I254" i="2"/>
  <c r="G226" i="2" a="1"/>
  <c r="G226" i="2"/>
  <c r="G254" i="2" a="1"/>
  <c r="G254" i="2"/>
  <c r="E35" i="2" a="1"/>
  <c r="E35" i="2"/>
  <c r="D308" i="2" a="1"/>
  <c r="D308" i="2"/>
  <c r="C151" i="2" a="1"/>
  <c r="C151" i="2"/>
  <c r="H151" i="2" a="1"/>
  <c r="H151" i="2"/>
  <c r="I262" i="2" a="1"/>
  <c r="I262" i="2"/>
  <c r="G149" i="2" a="1"/>
  <c r="G149" i="2"/>
  <c r="N165" i="2" a="1"/>
  <c r="N165" i="2"/>
  <c r="E262" i="2" a="1"/>
  <c r="E262" i="2"/>
  <c r="L308" i="2" a="1"/>
  <c r="L308" i="2"/>
  <c r="M226" i="2" a="1"/>
  <c r="M226" i="2"/>
  <c r="H147" i="2" a="1"/>
  <c r="H147" i="2"/>
  <c r="K151" i="2" a="1"/>
  <c r="K151" i="2"/>
  <c r="N226" i="2" a="1"/>
  <c r="N226" i="2"/>
  <c r="M147" i="2" a="1"/>
  <c r="M147" i="2"/>
  <c r="G35" i="2" a="1"/>
  <c r="G35" i="2"/>
  <c r="L262" i="2" a="1"/>
  <c r="L262" i="2"/>
  <c r="K226" i="2" a="1"/>
  <c r="K226" i="2"/>
  <c r="E149" i="2" a="1"/>
  <c r="E149" i="2"/>
  <c r="H251" i="2" a="1"/>
  <c r="H251" i="2"/>
  <c r="D151" i="2" a="1"/>
  <c r="D151" i="2"/>
  <c r="N149" i="2" a="1"/>
  <c r="N149" i="2"/>
  <c r="M254" i="2" a="1"/>
  <c r="M254" i="2"/>
  <c r="C251" i="2" a="1"/>
  <c r="C251" i="2"/>
  <c r="H35" i="2" a="1"/>
  <c r="H35" i="2"/>
  <c r="M35" i="2" a="1"/>
  <c r="M35" i="2"/>
  <c r="K149" i="2" a="1"/>
  <c r="K149" i="2"/>
  <c r="E251" i="2" a="1"/>
  <c r="E251" i="2"/>
  <c r="F147" i="2" a="1"/>
  <c r="F147" i="2"/>
  <c r="J147" i="2" a="1"/>
  <c r="J147" i="2"/>
  <c r="K147" i="2" a="1"/>
  <c r="K147" i="2"/>
  <c r="N308" i="2" a="1"/>
  <c r="N308" i="2"/>
  <c r="I35" i="2" a="1"/>
  <c r="I35" i="2"/>
  <c r="I251" i="2" a="1"/>
  <c r="I251" i="2"/>
  <c r="F35" i="2" a="1"/>
  <c r="F35" i="2"/>
  <c r="F254" i="2" a="1"/>
  <c r="F254" i="2"/>
  <c r="H149" i="2" a="1"/>
  <c r="H149" i="2"/>
  <c r="N147" i="2" a="1"/>
  <c r="N147" i="2"/>
  <c r="K254" i="2" a="1"/>
  <c r="K254" i="2"/>
  <c r="N35" i="2" a="1"/>
  <c r="N35" i="2"/>
  <c r="L251" i="2" a="1"/>
  <c r="L251" i="2"/>
  <c r="D35" i="2" a="1"/>
  <c r="D35" i="2"/>
  <c r="L226" i="2" a="1"/>
  <c r="L226" i="2"/>
  <c r="J149" i="2" a="1"/>
  <c r="J149" i="2"/>
  <c r="G262" i="2" a="1"/>
  <c r="G262" i="2"/>
  <c r="G147" i="2" a="1"/>
  <c r="G147" i="2"/>
  <c r="L165" i="2" a="1"/>
  <c r="L165" i="2"/>
  <c r="D262" i="2" a="1"/>
  <c r="D262" i="2"/>
  <c r="D149" i="2" a="1"/>
  <c r="D149" i="2"/>
  <c r="C308" i="2" a="1"/>
  <c r="C308" i="2"/>
  <c r="M165" i="2" a="1"/>
  <c r="M165" i="2"/>
  <c r="C254" i="2" a="1"/>
  <c r="C254" i="2"/>
  <c r="I165" i="2" a="1"/>
  <c r="I165" i="2"/>
  <c r="G151" i="2" a="1"/>
  <c r="G151" i="2"/>
  <c r="D251" i="2" a="1"/>
  <c r="D251" i="2"/>
  <c r="G251" i="2" a="1"/>
  <c r="G251" i="2"/>
  <c r="K251" i="2" a="1"/>
  <c r="K251" i="2"/>
  <c r="H254" i="2" a="1"/>
  <c r="H254" i="2"/>
  <c r="C147" i="2" a="1"/>
  <c r="C147" i="2"/>
  <c r="N262" i="2" a="1"/>
  <c r="N262" i="2"/>
  <c r="J226" i="2" a="1"/>
  <c r="J226" i="2"/>
  <c r="J35" i="2" a="1"/>
  <c r="J35" i="2"/>
  <c r="I308" i="2" a="1"/>
  <c r="I308" i="2"/>
  <c r="N151" i="2" a="1"/>
  <c r="N151" i="2"/>
  <c r="E165" i="2" a="1"/>
  <c r="E165" i="2"/>
  <c r="K262" i="2" a="1"/>
  <c r="K262" i="2"/>
  <c r="E151" i="2" a="1"/>
  <c r="E151" i="2"/>
  <c r="C262" i="2" a="1"/>
  <c r="C262" i="2"/>
  <c r="I226" i="2" a="1"/>
  <c r="I226" i="2"/>
  <c r="H308" i="2" a="1"/>
  <c r="H308" i="2"/>
  <c r="F251" i="2" a="1"/>
  <c r="F251" i="2"/>
  <c r="D254" i="2" a="1"/>
  <c r="D254" i="2"/>
  <c r="E308" i="2" a="1"/>
  <c r="E308" i="2"/>
  <c r="G165" i="2" a="1"/>
  <c r="G165" i="2"/>
  <c r="J254" i="2" a="1"/>
  <c r="J254" i="2"/>
  <c r="D226" i="2" a="1"/>
  <c r="D226" i="2"/>
  <c r="C226" i="2" a="1"/>
  <c r="C226" i="2"/>
  <c r="F308" i="2" a="1"/>
  <c r="F308" i="2"/>
  <c r="E254" i="2" a="1"/>
  <c r="E254" i="2"/>
  <c r="D165" i="2" a="1"/>
  <c r="D165" i="2"/>
  <c r="C149" i="2" a="1"/>
  <c r="C149" i="2"/>
  <c r="J165" i="2" a="1"/>
  <c r="J165" i="2"/>
  <c r="K35" i="2" a="1"/>
  <c r="K35" i="2"/>
  <c r="J151" i="2" a="1"/>
  <c r="J151" i="2"/>
  <c r="E147" i="2" a="1"/>
  <c r="E147" i="2"/>
  <c r="J251" i="2" a="1"/>
  <c r="J251" i="2"/>
  <c r="M262" i="2" a="1"/>
  <c r="M262" i="2"/>
  <c r="I191" i="2" a="1"/>
  <c r="I191" i="2"/>
  <c r="J118" i="2" a="1"/>
  <c r="J118" i="2"/>
  <c r="J268" i="2" a="1"/>
  <c r="J268" i="2"/>
  <c r="F99" i="2" a="1"/>
  <c r="F99" i="2"/>
  <c r="I118" i="2" a="1"/>
  <c r="I118" i="2"/>
  <c r="I236" i="2" a="1"/>
  <c r="I236" i="2"/>
  <c r="J119" i="2" a="1"/>
  <c r="J119" i="2"/>
  <c r="N119" i="2" a="1"/>
  <c r="N119" i="2"/>
  <c r="M99" i="2" a="1"/>
  <c r="M99" i="2"/>
  <c r="F268" i="2" a="1"/>
  <c r="F268" i="2"/>
  <c r="H189" i="2" a="1"/>
  <c r="H189" i="2"/>
  <c r="D285" i="2" a="1"/>
  <c r="D285" i="2"/>
  <c r="K268" i="2" a="1"/>
  <c r="K268" i="2"/>
  <c r="K256" i="2" a="1"/>
  <c r="K256" i="2"/>
  <c r="D256" i="2" a="1"/>
  <c r="D256" i="2"/>
  <c r="N256" i="2" a="1"/>
  <c r="N256" i="2"/>
  <c r="H268" i="2" a="1"/>
  <c r="H268" i="2"/>
  <c r="N189" i="2" a="1"/>
  <c r="N189" i="2"/>
  <c r="H191" i="2" a="1"/>
  <c r="H191" i="2"/>
  <c r="L118" i="2" a="1"/>
  <c r="L118" i="2"/>
  <c r="E285" i="2" a="1"/>
  <c r="E285" i="2"/>
  <c r="G189" i="2" a="1"/>
  <c r="G189" i="2"/>
  <c r="H99" i="2" a="1"/>
  <c r="H99" i="2"/>
  <c r="L236" i="2" a="1"/>
  <c r="L236" i="2"/>
  <c r="N268" i="2" a="1"/>
  <c r="N268" i="2"/>
  <c r="E118" i="2" a="1"/>
  <c r="E118" i="2"/>
  <c r="F189" i="2" a="1"/>
  <c r="F189" i="2"/>
  <c r="M268" i="2" a="1"/>
  <c r="M268" i="2"/>
  <c r="J189" i="2" a="1"/>
  <c r="J189" i="2"/>
  <c r="N191" i="2" a="1"/>
  <c r="N191" i="2"/>
  <c r="H263" i="2" a="1"/>
  <c r="H263" i="2"/>
  <c r="D191" i="2" a="1"/>
  <c r="D191" i="2"/>
  <c r="N118" i="2" a="1"/>
  <c r="N118" i="2"/>
  <c r="I285" i="2" a="1"/>
  <c r="I285" i="2"/>
  <c r="L119" i="2" a="1"/>
  <c r="L119" i="2"/>
  <c r="L191" i="2" a="1"/>
  <c r="L191" i="2"/>
  <c r="I263" i="2" a="1"/>
  <c r="I263" i="2"/>
  <c r="G268" i="2" a="1"/>
  <c r="G268" i="2"/>
  <c r="N263" i="2" a="1"/>
  <c r="N263" i="2"/>
  <c r="C236" i="2" a="1"/>
  <c r="C236" i="2"/>
  <c r="K118" i="2" a="1"/>
  <c r="K118" i="2"/>
  <c r="G285" i="2" a="1"/>
  <c r="G285" i="2"/>
  <c r="D99" i="2" a="1"/>
  <c r="D99" i="2"/>
  <c r="J256" i="2" a="1"/>
  <c r="J256" i="2"/>
  <c r="F285" i="2" a="1"/>
  <c r="F285" i="2"/>
  <c r="F263" i="2" a="1"/>
  <c r="F263" i="2"/>
  <c r="F236" i="2" a="1"/>
  <c r="F236" i="2"/>
  <c r="L189" i="2" a="1"/>
  <c r="L189" i="2"/>
  <c r="H236" i="2" a="1"/>
  <c r="H236" i="2"/>
  <c r="E256" i="2" a="1"/>
  <c r="E256" i="2"/>
  <c r="K263" i="2" a="1"/>
  <c r="K263" i="2"/>
  <c r="D189" i="2" a="1"/>
  <c r="D189" i="2"/>
  <c r="D119" i="2" a="1"/>
  <c r="D119" i="2"/>
  <c r="C285" i="2" a="1"/>
  <c r="C285" i="2"/>
  <c r="H256" i="2" a="1"/>
  <c r="H256" i="2"/>
  <c r="F191" i="2" a="1"/>
  <c r="F191" i="2"/>
  <c r="I99" i="2" a="1"/>
  <c r="I99" i="2"/>
  <c r="E236" i="2" a="1"/>
  <c r="E236" i="2"/>
  <c r="K285" i="2" a="1"/>
  <c r="K285" i="2"/>
  <c r="D268" i="2" a="1"/>
  <c r="D268" i="2"/>
  <c r="L285" i="2" a="1"/>
  <c r="L285" i="2"/>
  <c r="D236" i="2" a="1"/>
  <c r="D236" i="2"/>
  <c r="L256" i="2" a="1"/>
  <c r="L256" i="2"/>
  <c r="I256" i="2" a="1"/>
  <c r="I256" i="2"/>
  <c r="E189" i="2" a="1"/>
  <c r="E189" i="2"/>
  <c r="G256" i="2" a="1"/>
  <c r="G256" i="2"/>
  <c r="F118" i="2" a="1"/>
  <c r="F118" i="2"/>
  <c r="I189" i="2" a="1"/>
  <c r="I189" i="2"/>
  <c r="G118" i="2" a="1"/>
  <c r="G118" i="2"/>
  <c r="N285" i="2" a="1"/>
  <c r="N285" i="2"/>
  <c r="C256" i="2" a="1"/>
  <c r="C256" i="2"/>
  <c r="C268" i="2" a="1"/>
  <c r="C268" i="2"/>
  <c r="C263" i="2" a="1"/>
  <c r="C263" i="2"/>
  <c r="G99" i="2" a="1"/>
  <c r="G99" i="2"/>
  <c r="G191" i="2" a="1"/>
  <c r="G191" i="2"/>
  <c r="F119" i="2" a="1"/>
  <c r="F119" i="2"/>
  <c r="M285" i="2" a="1"/>
  <c r="M285" i="2"/>
  <c r="M118" i="2" a="1"/>
  <c r="M118" i="2"/>
  <c r="J99" i="2" a="1"/>
  <c r="J99" i="2"/>
  <c r="G119" i="2" a="1"/>
  <c r="G119" i="2"/>
  <c r="L263" i="2" a="1"/>
  <c r="L263" i="2"/>
  <c r="K189" i="2" a="1"/>
  <c r="K189" i="2"/>
  <c r="L99" i="2" a="1"/>
  <c r="L99" i="2"/>
  <c r="M191" i="2" a="1"/>
  <c r="M191" i="2"/>
  <c r="E191" i="2" a="1"/>
  <c r="E191" i="2"/>
  <c r="K119" i="2" a="1"/>
  <c r="K119" i="2"/>
  <c r="J236" i="2" a="1"/>
  <c r="J236" i="2"/>
  <c r="E268" i="2" a="1"/>
  <c r="E268" i="2"/>
  <c r="I119" i="2" a="1"/>
  <c r="I119" i="2"/>
  <c r="M236" i="2" a="1"/>
  <c r="M236" i="2"/>
  <c r="E99" i="2" a="1"/>
  <c r="E99" i="2"/>
  <c r="C99" i="2" a="1"/>
  <c r="C99" i="2"/>
  <c r="F256" i="2" a="1"/>
  <c r="F256" i="2"/>
  <c r="K236" i="2" a="1"/>
  <c r="K236" i="2"/>
  <c r="C118" i="2" a="1"/>
  <c r="C118" i="2"/>
  <c r="K99" i="2" a="1"/>
  <c r="K99" i="2"/>
  <c r="C119" i="2" a="1"/>
  <c r="C119" i="2"/>
  <c r="G236" i="2" a="1"/>
  <c r="G236" i="2"/>
  <c r="M119" i="2" a="1"/>
  <c r="M119" i="2"/>
  <c r="G263" i="2" a="1"/>
  <c r="G263" i="2"/>
  <c r="K191" i="2" a="1"/>
  <c r="K191" i="2"/>
  <c r="J191" i="2" a="1"/>
  <c r="J191" i="2"/>
  <c r="D118" i="2" a="1"/>
  <c r="D118" i="2"/>
  <c r="H285" i="2" a="1"/>
  <c r="H285" i="2"/>
  <c r="M189" i="2" a="1"/>
  <c r="M189" i="2"/>
  <c r="E263" i="2" a="1"/>
  <c r="E263" i="2"/>
  <c r="D263" i="2" a="1"/>
  <c r="D263" i="2"/>
  <c r="H119" i="2" a="1"/>
  <c r="H119" i="2"/>
  <c r="L268" i="2" a="1"/>
  <c r="L268" i="2"/>
  <c r="C191" i="2" a="1"/>
  <c r="C191" i="2"/>
  <c r="J263" i="2" a="1"/>
  <c r="J263" i="2"/>
  <c r="N236" i="2" a="1"/>
  <c r="N236" i="2"/>
  <c r="J285" i="2" a="1"/>
  <c r="J285" i="2"/>
  <c r="E119" i="2" a="1"/>
  <c r="E119" i="2"/>
  <c r="N99" i="2" a="1"/>
  <c r="N99" i="2"/>
  <c r="H118" i="2" a="1"/>
  <c r="H118" i="2"/>
  <c r="M263" i="2" a="1"/>
  <c r="M263" i="2"/>
  <c r="M256" i="2" a="1"/>
  <c r="M256" i="2"/>
  <c r="I268" i="2" a="1"/>
  <c r="I268" i="2"/>
  <c r="C189" i="2" a="1"/>
  <c r="C189" i="2"/>
  <c r="D270" i="2" a="1"/>
  <c r="D270" i="2"/>
  <c r="M128" i="2" a="1"/>
  <c r="M128" i="2"/>
  <c r="L270" i="2" a="1"/>
  <c r="L270" i="2"/>
  <c r="F166" i="2" a="1"/>
  <c r="F166" i="2"/>
  <c r="F46" i="2" a="1"/>
  <c r="F46" i="2"/>
  <c r="I128" i="2" a="1"/>
  <c r="I128" i="2"/>
  <c r="H52" i="2" a="1"/>
  <c r="H52" i="2"/>
  <c r="N128" i="2" a="1"/>
  <c r="N128" i="2"/>
  <c r="F159" i="2" a="1"/>
  <c r="F159" i="2"/>
  <c r="E159" i="2" a="1"/>
  <c r="E159" i="2"/>
  <c r="F123" i="2" a="1"/>
  <c r="F123" i="2"/>
  <c r="I123" i="2" a="1"/>
  <c r="I123" i="2"/>
  <c r="F205" i="2" a="1"/>
  <c r="F205" i="2"/>
  <c r="J123" i="2" a="1"/>
  <c r="J123" i="2"/>
  <c r="I205" i="2" a="1"/>
  <c r="I205" i="2"/>
  <c r="C224" i="2" a="1"/>
  <c r="C224" i="2"/>
  <c r="D52" i="2" a="1"/>
  <c r="D52" i="2"/>
  <c r="L52" i="2" a="1"/>
  <c r="L52" i="2"/>
  <c r="C159" i="2" a="1"/>
  <c r="C159" i="2"/>
  <c r="E123" i="2" a="1"/>
  <c r="E123" i="2"/>
  <c r="J224" i="2" a="1"/>
  <c r="J224" i="2"/>
  <c r="I159" i="2" a="1"/>
  <c r="I159" i="2"/>
  <c r="M8" i="2" a="1"/>
  <c r="M8" i="2"/>
  <c r="J270" i="2" a="1"/>
  <c r="J270" i="2"/>
  <c r="K205" i="2" a="1"/>
  <c r="K205" i="2"/>
  <c r="G123" i="2" a="1"/>
  <c r="G123" i="2"/>
  <c r="E166" i="2" a="1"/>
  <c r="E166" i="2"/>
  <c r="L159" i="2" a="1"/>
  <c r="L159" i="2"/>
  <c r="N224" i="2" a="1"/>
  <c r="N224" i="2"/>
  <c r="E128" i="2" a="1"/>
  <c r="E128" i="2"/>
  <c r="H270" i="2" a="1"/>
  <c r="H270" i="2"/>
  <c r="H46" i="2" a="1"/>
  <c r="H46" i="2"/>
  <c r="M166" i="2" a="1"/>
  <c r="M166" i="2"/>
  <c r="M123" i="2" a="1"/>
  <c r="M123" i="2"/>
  <c r="D205" i="2" a="1"/>
  <c r="D205" i="2"/>
  <c r="K166" i="2" a="1"/>
  <c r="K166" i="2"/>
  <c r="J8" i="2" a="1"/>
  <c r="J8" i="2"/>
  <c r="G46" i="2" a="1"/>
  <c r="G46" i="2"/>
  <c r="I224" i="2" a="1"/>
  <c r="I224" i="2"/>
  <c r="H128" i="2" a="1"/>
  <c r="H128" i="2"/>
  <c r="M159" i="2" a="1"/>
  <c r="M159" i="2"/>
  <c r="I166" i="2" a="1"/>
  <c r="I166" i="2"/>
  <c r="L46" i="2" a="1"/>
  <c r="L46" i="2"/>
  <c r="L205" i="2" a="1"/>
  <c r="L205" i="2"/>
  <c r="M46" i="2" a="1"/>
  <c r="M46" i="2"/>
  <c r="I46" i="2" a="1"/>
  <c r="I46" i="2"/>
  <c r="C46" i="2" a="1"/>
  <c r="C46" i="2"/>
  <c r="K46" i="2" a="1"/>
  <c r="K46" i="2"/>
  <c r="D224" i="2" a="1"/>
  <c r="D224" i="2"/>
  <c r="L128" i="2" a="1"/>
  <c r="L128" i="2"/>
  <c r="K270" i="2" a="1"/>
  <c r="K270" i="2"/>
  <c r="G224" i="2" a="1"/>
  <c r="G224" i="2"/>
  <c r="E224" i="2" a="1"/>
  <c r="E224" i="2"/>
  <c r="G52" i="2" a="1"/>
  <c r="G52" i="2"/>
  <c r="J128" i="2" a="1"/>
  <c r="J128" i="2"/>
  <c r="E270" i="2" a="1"/>
  <c r="E270" i="2"/>
  <c r="G166" i="2" a="1"/>
  <c r="G166" i="2"/>
  <c r="C270" i="2" a="1"/>
  <c r="C270" i="2"/>
  <c r="G128" i="2" a="1"/>
  <c r="G128" i="2"/>
  <c r="N46" i="2" a="1"/>
  <c r="N46" i="2"/>
  <c r="L166" i="2" a="1"/>
  <c r="L166" i="2"/>
  <c r="K52" i="2" a="1"/>
  <c r="K52" i="2"/>
  <c r="L224" i="2" a="1"/>
  <c r="L224" i="2"/>
  <c r="N123" i="2" a="1"/>
  <c r="N123" i="2"/>
  <c r="J159" i="2" a="1"/>
  <c r="J159" i="2"/>
  <c r="N166" i="2" a="1"/>
  <c r="N166" i="2"/>
  <c r="F224" i="2" a="1"/>
  <c r="F224" i="2"/>
  <c r="C123" i="2" a="1"/>
  <c r="C123" i="2"/>
  <c r="E52" i="2" a="1"/>
  <c r="E52" i="2"/>
  <c r="D159" i="2" a="1"/>
  <c r="D159" i="2"/>
  <c r="H224" i="2" a="1"/>
  <c r="H224" i="2"/>
  <c r="J52" i="2" a="1"/>
  <c r="J52" i="2"/>
  <c r="C8" i="2" a="1"/>
  <c r="C8" i="2"/>
  <c r="M52" i="2" a="1"/>
  <c r="M52" i="2"/>
  <c r="F52" i="2" a="1"/>
  <c r="F52" i="2"/>
  <c r="G205" i="2" a="1"/>
  <c r="G205" i="2"/>
  <c r="G270" i="2" a="1"/>
  <c r="G270" i="2"/>
  <c r="K128" i="2" a="1"/>
  <c r="K128" i="2"/>
  <c r="C205" i="2" a="1"/>
  <c r="C205" i="2"/>
  <c r="L123" i="2" a="1"/>
  <c r="L123" i="2"/>
  <c r="K224" i="2" a="1"/>
  <c r="K224" i="2"/>
  <c r="G159" i="2" a="1"/>
  <c r="G159" i="2"/>
  <c r="H8" i="2" a="1"/>
  <c r="H8" i="2"/>
  <c r="D123" i="2" a="1"/>
  <c r="D123" i="2"/>
  <c r="G8" i="2" a="1"/>
  <c r="G8" i="2"/>
  <c r="H205" i="2" a="1"/>
  <c r="H205" i="2"/>
  <c r="D46" i="2" a="1"/>
  <c r="D46" i="2"/>
  <c r="F8" i="2" a="1"/>
  <c r="F8" i="2"/>
  <c r="I8" i="2" a="1"/>
  <c r="I8" i="2"/>
  <c r="N8" i="2" a="1"/>
  <c r="N8" i="2"/>
  <c r="K8" i="2" a="1"/>
  <c r="K8" i="2"/>
  <c r="J205" i="2" a="1"/>
  <c r="J205" i="2"/>
  <c r="N159" i="2" a="1"/>
  <c r="N159" i="2"/>
  <c r="F270" i="2" a="1"/>
  <c r="F270" i="2"/>
  <c r="M205" i="2" a="1"/>
  <c r="M205" i="2"/>
  <c r="C128" i="2" a="1"/>
  <c r="C128" i="2"/>
  <c r="N52" i="2" a="1"/>
  <c r="N52" i="2"/>
  <c r="L8" i="2" a="1"/>
  <c r="L8" i="2"/>
  <c r="C52" i="2" a="1"/>
  <c r="C52" i="2"/>
  <c r="M270" i="2" a="1"/>
  <c r="M270" i="2"/>
  <c r="D8" i="2" a="1"/>
  <c r="D8" i="2"/>
  <c r="H159" i="2" a="1"/>
  <c r="H159" i="2"/>
  <c r="H123" i="2" a="1"/>
  <c r="H123" i="2"/>
  <c r="C166" i="2" a="1"/>
  <c r="C166" i="2"/>
  <c r="I270" i="2" a="1"/>
  <c r="I270" i="2"/>
  <c r="D166" i="2" a="1"/>
  <c r="D166" i="2"/>
  <c r="N205" i="2" a="1"/>
  <c r="N205" i="2"/>
  <c r="E46" i="2" a="1"/>
  <c r="E46" i="2"/>
  <c r="D128" i="2" a="1"/>
  <c r="D128" i="2"/>
  <c r="J166" i="2" a="1"/>
  <c r="J166" i="2"/>
  <c r="E8" i="2" a="1"/>
  <c r="E8" i="2"/>
  <c r="N270" i="2" a="1"/>
  <c r="N270" i="2"/>
  <c r="J46" i="2" a="1"/>
  <c r="J46" i="2"/>
  <c r="K123" i="2" a="1"/>
  <c r="K123" i="2"/>
  <c r="E205" i="2" a="1"/>
  <c r="E205" i="2"/>
  <c r="M224" i="2" a="1"/>
  <c r="M224" i="2"/>
  <c r="I52" i="2" a="1"/>
  <c r="I52" i="2"/>
  <c r="F128" i="2" a="1"/>
  <c r="F128" i="2"/>
  <c r="K159" i="2" a="1"/>
  <c r="K159" i="2"/>
  <c r="H166" i="2" a="1"/>
  <c r="H166" i="2"/>
  <c r="H294" i="2" a="1"/>
  <c r="H294" i="2"/>
  <c r="I206" i="2" a="1"/>
  <c r="I206" i="2"/>
  <c r="M23" i="2" a="1"/>
  <c r="M23" i="2"/>
  <c r="M76" i="2" a="1"/>
  <c r="M76" i="2"/>
  <c r="C16" i="2" a="1"/>
  <c r="C16" i="2"/>
  <c r="F294" i="2" a="1"/>
  <c r="F294" i="2"/>
  <c r="E23" i="2" a="1"/>
  <c r="E23" i="2"/>
  <c r="L206" i="2" a="1"/>
  <c r="L206" i="2"/>
  <c r="E294" i="2" a="1"/>
  <c r="E294" i="2"/>
  <c r="G64" i="2" a="1"/>
  <c r="G64" i="2"/>
  <c r="N294" i="2" a="1"/>
  <c r="N294" i="2"/>
  <c r="H64" i="2" a="1"/>
  <c r="H64" i="2"/>
  <c r="N64" i="2" a="1"/>
  <c r="N64" i="2"/>
  <c r="K23" i="2" a="1"/>
  <c r="K23" i="2"/>
  <c r="M206" i="2" a="1"/>
  <c r="M206" i="2"/>
  <c r="K294" i="2" a="1"/>
  <c r="K294" i="2"/>
  <c r="I64" i="2" a="1"/>
  <c r="I64" i="2"/>
  <c r="H206" i="2" a="1"/>
  <c r="H206" i="2"/>
  <c r="I76" i="2" a="1"/>
  <c r="I76" i="2"/>
  <c r="L132" i="2" a="1"/>
  <c r="L132" i="2"/>
  <c r="G177" i="2" a="1"/>
  <c r="G177" i="2"/>
  <c r="G294" i="2" a="1"/>
  <c r="G294" i="2"/>
  <c r="G16" i="2" a="1"/>
  <c r="G16" i="2"/>
  <c r="J23" i="2" a="1"/>
  <c r="J23" i="2"/>
  <c r="C64" i="2" a="1"/>
  <c r="C64" i="2"/>
  <c r="J76" i="2" a="1"/>
  <c r="J76" i="2"/>
  <c r="F177" i="2" a="1"/>
  <c r="F177" i="2"/>
  <c r="N177" i="2" a="1"/>
  <c r="N177" i="2"/>
  <c r="D132" i="2" a="1"/>
  <c r="D132" i="2"/>
  <c r="M177" i="2" a="1"/>
  <c r="M177" i="2"/>
  <c r="F132" i="2" a="1"/>
  <c r="F132" i="2"/>
  <c r="F16" i="2" a="1"/>
  <c r="F16" i="2"/>
  <c r="C231" i="2" a="1"/>
  <c r="C231" i="2"/>
  <c r="M16" i="2" a="1"/>
  <c r="M16" i="2"/>
  <c r="C76" i="2" a="1"/>
  <c r="C76" i="2"/>
  <c r="K206" i="2" a="1"/>
  <c r="K206" i="2"/>
  <c r="K64" i="2" a="1"/>
  <c r="K64" i="2"/>
  <c r="L177" i="2" a="1"/>
  <c r="L177" i="2"/>
  <c r="F206" i="2" a="1"/>
  <c r="F206" i="2"/>
  <c r="I23" i="2" a="1"/>
  <c r="I23" i="2"/>
  <c r="D23" i="2" a="1"/>
  <c r="D23" i="2"/>
  <c r="K177" i="2" a="1"/>
  <c r="K177" i="2"/>
  <c r="L294" i="2" a="1"/>
  <c r="L294" i="2"/>
  <c r="D231" i="2" a="1"/>
  <c r="D231" i="2"/>
  <c r="D122" i="2" a="1"/>
  <c r="D122" i="2"/>
  <c r="E231" i="2" a="1"/>
  <c r="E231" i="2"/>
  <c r="K16" i="2" a="1"/>
  <c r="K16" i="2"/>
  <c r="D64" i="2" a="1"/>
  <c r="D64" i="2"/>
  <c r="H16" i="2" a="1"/>
  <c r="H16" i="2"/>
  <c r="E122" i="2" a="1"/>
  <c r="E122" i="2"/>
  <c r="H132" i="2" a="1"/>
  <c r="H132" i="2"/>
  <c r="K231" i="2" a="1"/>
  <c r="K231" i="2"/>
  <c r="G122" i="2" a="1"/>
  <c r="G122" i="2"/>
  <c r="K76" i="2" a="1"/>
  <c r="K76" i="2"/>
  <c r="F76" i="2" a="1"/>
  <c r="F76" i="2"/>
  <c r="J231" i="2" a="1"/>
  <c r="J231" i="2"/>
  <c r="G76" i="2" a="1"/>
  <c r="G76" i="2"/>
  <c r="N122" i="2" a="1"/>
  <c r="N122" i="2"/>
  <c r="J177" i="2" a="1"/>
  <c r="J177" i="2"/>
  <c r="L16" i="2" a="1"/>
  <c r="L16" i="2"/>
  <c r="C177" i="2" a="1"/>
  <c r="C177" i="2"/>
  <c r="E206" i="2" a="1"/>
  <c r="E206" i="2"/>
  <c r="J64" i="2" a="1"/>
  <c r="J64" i="2"/>
  <c r="D206" i="2" a="1"/>
  <c r="D206" i="2"/>
  <c r="C122" i="2" a="1"/>
  <c r="C122" i="2"/>
  <c r="G132" i="2" a="1"/>
  <c r="G132" i="2"/>
  <c r="H177" i="2" a="1"/>
  <c r="H177" i="2"/>
  <c r="N231" i="2" a="1"/>
  <c r="N231" i="2"/>
  <c r="K132" i="2" a="1"/>
  <c r="K132" i="2"/>
  <c r="D16" i="2" a="1"/>
  <c r="D16" i="2"/>
  <c r="F231" i="2" a="1"/>
  <c r="F231" i="2"/>
  <c r="C23" i="2" a="1"/>
  <c r="C23" i="2"/>
  <c r="G231" i="2" a="1"/>
  <c r="G231" i="2"/>
  <c r="E16" i="2" a="1"/>
  <c r="E16" i="2"/>
  <c r="J16" i="2" a="1"/>
  <c r="J16" i="2"/>
  <c r="J132" i="2" a="1"/>
  <c r="J132" i="2"/>
  <c r="L122" i="2" a="1"/>
  <c r="L122" i="2"/>
  <c r="F23" i="2" a="1"/>
  <c r="F23" i="2"/>
  <c r="L76" i="2" a="1"/>
  <c r="L76" i="2"/>
  <c r="H231" i="2" a="1"/>
  <c r="H231" i="2"/>
  <c r="D177" i="2" a="1"/>
  <c r="D177" i="2"/>
  <c r="M64" i="2" a="1"/>
  <c r="M64" i="2"/>
  <c r="J206" i="2" a="1"/>
  <c r="J206" i="2"/>
  <c r="N132" i="2" a="1"/>
  <c r="N132" i="2"/>
  <c r="M132" i="2" a="1"/>
  <c r="M132" i="2"/>
  <c r="H122" i="2" a="1"/>
  <c r="H122" i="2"/>
  <c r="D76" i="2" a="1"/>
  <c r="D76" i="2"/>
  <c r="I122" i="2" a="1"/>
  <c r="I122" i="2"/>
  <c r="N23" i="2" a="1"/>
  <c r="N23" i="2"/>
  <c r="H23" i="2" a="1"/>
  <c r="H23" i="2"/>
  <c r="J294" i="2" a="1"/>
  <c r="J294" i="2"/>
  <c r="N16" i="2" a="1"/>
  <c r="N16" i="2"/>
  <c r="M231" i="2" a="1"/>
  <c r="M231" i="2"/>
  <c r="F64" i="2" a="1"/>
  <c r="F64" i="2"/>
  <c r="K122" i="2" a="1"/>
  <c r="K122" i="2"/>
  <c r="E76" i="2" a="1"/>
  <c r="E76" i="2"/>
  <c r="D294" i="2" a="1"/>
  <c r="D294" i="2"/>
  <c r="I294" i="2" a="1"/>
  <c r="I294" i="2"/>
  <c r="I177" i="2" a="1"/>
  <c r="I177" i="2"/>
  <c r="L231" i="2" a="1"/>
  <c r="L231" i="2"/>
  <c r="M294" i="2" a="1"/>
  <c r="M294" i="2"/>
  <c r="E132" i="2" a="1"/>
  <c r="E132" i="2"/>
  <c r="C206" i="2" a="1"/>
  <c r="C206" i="2"/>
  <c r="G206" i="2" a="1"/>
  <c r="G206" i="2"/>
  <c r="L64" i="2" a="1"/>
  <c r="L64" i="2"/>
  <c r="M122" i="2" a="1"/>
  <c r="M122" i="2"/>
  <c r="C132" i="2" a="1"/>
  <c r="C132" i="2"/>
  <c r="J122" i="2" a="1"/>
  <c r="J122" i="2"/>
  <c r="G23" i="2" a="1"/>
  <c r="G23" i="2"/>
  <c r="N76" i="2" a="1"/>
  <c r="N76" i="2"/>
  <c r="C294" i="2" a="1"/>
  <c r="C294" i="2"/>
  <c r="L23" i="2" a="1"/>
  <c r="L23" i="2"/>
  <c r="H76" i="2" a="1"/>
  <c r="H76" i="2"/>
  <c r="E64" i="2" a="1"/>
  <c r="E64" i="2"/>
  <c r="I16" i="2" a="1"/>
  <c r="I16" i="2"/>
  <c r="I132" i="2" a="1"/>
  <c r="I132" i="2"/>
  <c r="I231" i="2" a="1"/>
  <c r="I231" i="2"/>
  <c r="N206" i="2" a="1"/>
  <c r="N206" i="2"/>
  <c r="E177" i="2" a="1"/>
  <c r="E177" i="2"/>
  <c r="F122" i="2" a="1"/>
  <c r="F122" i="2"/>
  <c r="J81" i="2" a="1"/>
  <c r="J81" i="2"/>
  <c r="M73" i="2" a="1"/>
  <c r="M73" i="2"/>
  <c r="F104" i="2" a="1"/>
  <c r="F104" i="2"/>
  <c r="M312" i="2" a="1"/>
  <c r="M312" i="2"/>
  <c r="I73" i="2" a="1"/>
  <c r="I73" i="2"/>
  <c r="D121" i="2" a="1"/>
  <c r="D121" i="2"/>
  <c r="N273" i="2" a="1"/>
  <c r="N273" i="2"/>
  <c r="L73" i="2" a="1"/>
  <c r="L73" i="2"/>
  <c r="N261" i="2" a="1"/>
  <c r="N261" i="2"/>
  <c r="C312" i="2" a="1"/>
  <c r="C312" i="2"/>
  <c r="K273" i="2" a="1"/>
  <c r="K273" i="2"/>
  <c r="I244" i="2" a="1"/>
  <c r="I244" i="2"/>
  <c r="M81" i="2" a="1"/>
  <c r="M81" i="2"/>
  <c r="I81" i="2" a="1"/>
  <c r="I81" i="2"/>
  <c r="E121" i="2" a="1"/>
  <c r="E121" i="2"/>
  <c r="K98" i="2" a="1"/>
  <c r="K98" i="2"/>
  <c r="C130" i="2" a="1"/>
  <c r="C130" i="2"/>
  <c r="J312" i="2" a="1"/>
  <c r="J312" i="2"/>
  <c r="L98" i="2" a="1"/>
  <c r="L98" i="2"/>
  <c r="F130" i="2" a="1"/>
  <c r="F130" i="2"/>
  <c r="C273" i="2" a="1"/>
  <c r="C273" i="2"/>
  <c r="N104" i="2" a="1"/>
  <c r="N104" i="2"/>
  <c r="C121" i="2" a="1"/>
  <c r="C121" i="2"/>
  <c r="H73" i="2" a="1"/>
  <c r="H73" i="2"/>
  <c r="E261" i="2" a="1"/>
  <c r="E261" i="2"/>
  <c r="H98" i="2" a="1"/>
  <c r="H98" i="2"/>
  <c r="J98" i="2" a="1"/>
  <c r="J98" i="2"/>
  <c r="D312" i="2" a="1"/>
  <c r="D312" i="2"/>
  <c r="N121" i="2" a="1"/>
  <c r="N121" i="2"/>
  <c r="I312" i="2" a="1"/>
  <c r="I312" i="2"/>
  <c r="K130" i="2" a="1"/>
  <c r="K130" i="2"/>
  <c r="J73" i="2" a="1"/>
  <c r="J73" i="2"/>
  <c r="C73" i="2" a="1"/>
  <c r="C73" i="2"/>
  <c r="C244" i="2" a="1"/>
  <c r="C244" i="2"/>
  <c r="M130" i="2" a="1"/>
  <c r="M130" i="2"/>
  <c r="F81" i="2" a="1"/>
  <c r="F81" i="2"/>
  <c r="I121" i="2" a="1"/>
  <c r="I121" i="2"/>
  <c r="H273" i="2" a="1"/>
  <c r="H273" i="2"/>
  <c r="L261" i="2" a="1"/>
  <c r="L261" i="2"/>
  <c r="F312" i="2" a="1"/>
  <c r="F312" i="2"/>
  <c r="K121" i="2" a="1"/>
  <c r="K121" i="2"/>
  <c r="J104" i="2" a="1"/>
  <c r="J104" i="2"/>
  <c r="E312" i="2" a="1"/>
  <c r="E312" i="2"/>
  <c r="N81" i="2" a="1"/>
  <c r="N81" i="2"/>
  <c r="D73" i="2" a="1"/>
  <c r="D73" i="2"/>
  <c r="M244" i="2" a="1"/>
  <c r="M244" i="2"/>
  <c r="E273" i="2" a="1"/>
  <c r="E273" i="2"/>
  <c r="I130" i="2" a="1"/>
  <c r="I130" i="2"/>
  <c r="K104" i="2" a="1"/>
  <c r="K104" i="2"/>
  <c r="E104" i="2" a="1"/>
  <c r="E104" i="2"/>
  <c r="L244" i="2" a="1"/>
  <c r="L244" i="2"/>
  <c r="D98" i="2" a="1"/>
  <c r="D98" i="2"/>
  <c r="M121" i="2" a="1"/>
  <c r="M121" i="2"/>
  <c r="C104" i="2" a="1"/>
  <c r="C104" i="2"/>
  <c r="G104" i="2" a="1"/>
  <c r="G104" i="2"/>
  <c r="C98" i="2" a="1"/>
  <c r="C98" i="2"/>
  <c r="H244" i="2" a="1"/>
  <c r="H244" i="2"/>
  <c r="I261" i="2" a="1"/>
  <c r="I261" i="2"/>
  <c r="K81" i="2" a="1"/>
  <c r="K81" i="2"/>
  <c r="G73" i="2" a="1"/>
  <c r="G73" i="2"/>
  <c r="K312" i="2" a="1"/>
  <c r="K312" i="2"/>
  <c r="F273" i="2" a="1"/>
  <c r="F273" i="2"/>
  <c r="G98" i="2" a="1"/>
  <c r="G98" i="2"/>
  <c r="M98" i="2" a="1"/>
  <c r="M98" i="2"/>
  <c r="E73" i="2" a="1"/>
  <c r="E73" i="2"/>
  <c r="K261" i="2" a="1"/>
  <c r="K261" i="2"/>
  <c r="H261" i="2" a="1"/>
  <c r="H261" i="2"/>
  <c r="J244" i="2" a="1"/>
  <c r="J244" i="2"/>
  <c r="L312" i="2" a="1"/>
  <c r="L312" i="2"/>
  <c r="G81" i="2" a="1"/>
  <c r="G81" i="2"/>
  <c r="D130" i="2" a="1"/>
  <c r="D130" i="2"/>
  <c r="L121" i="2" a="1"/>
  <c r="L121" i="2"/>
  <c r="L81" i="2" a="1"/>
  <c r="L81" i="2"/>
  <c r="M104" i="2" a="1"/>
  <c r="M104" i="2"/>
  <c r="N130" i="2" a="1"/>
  <c r="N130" i="2"/>
  <c r="F98" i="2" a="1"/>
  <c r="F98" i="2"/>
  <c r="E98" i="2" a="1"/>
  <c r="E98" i="2"/>
  <c r="G261" i="2" a="1"/>
  <c r="G261" i="2"/>
  <c r="L104" i="2" a="1"/>
  <c r="L104" i="2"/>
  <c r="I273" i="2" a="1"/>
  <c r="I273" i="2"/>
  <c r="C261" i="2" a="1"/>
  <c r="C261" i="2"/>
  <c r="D273" i="2" a="1"/>
  <c r="D273" i="2"/>
  <c r="N73" i="2" a="1"/>
  <c r="N73" i="2"/>
  <c r="M273" i="2" a="1"/>
  <c r="M273" i="2"/>
  <c r="G244" i="2" a="1"/>
  <c r="G244" i="2"/>
  <c r="D244" i="2" a="1"/>
  <c r="D244" i="2"/>
  <c r="N244" i="2" a="1"/>
  <c r="N244" i="2"/>
  <c r="H130" i="2" a="1"/>
  <c r="H130" i="2"/>
  <c r="F73" i="2" a="1"/>
  <c r="F73" i="2"/>
  <c r="H121" i="2" a="1"/>
  <c r="H121" i="2"/>
  <c r="C81" i="2" a="1"/>
  <c r="C81" i="2"/>
  <c r="H104" i="2" a="1"/>
  <c r="H104" i="2"/>
  <c r="L130" i="2" a="1"/>
  <c r="L130" i="2"/>
  <c r="J121" i="2" a="1"/>
  <c r="J121" i="2"/>
  <c r="N98" i="2" a="1"/>
  <c r="N98" i="2"/>
  <c r="H312" i="2" a="1"/>
  <c r="H312" i="2"/>
  <c r="I104" i="2" a="1"/>
  <c r="I104" i="2"/>
  <c r="F121" i="2" a="1"/>
  <c r="F121" i="2"/>
  <c r="L273" i="2" a="1"/>
  <c r="L273" i="2"/>
  <c r="J130" i="2" a="1"/>
  <c r="J130" i="2"/>
  <c r="M261" i="2" a="1"/>
  <c r="M261" i="2"/>
  <c r="G273" i="2" a="1"/>
  <c r="G273" i="2"/>
  <c r="F244" i="2" a="1"/>
  <c r="F244" i="2"/>
  <c r="G312" i="2" a="1"/>
  <c r="G312" i="2"/>
  <c r="E130" i="2" a="1"/>
  <c r="E130" i="2"/>
  <c r="E244" i="2" a="1"/>
  <c r="E244" i="2"/>
  <c r="J261" i="2" a="1"/>
  <c r="J261" i="2"/>
  <c r="F261" i="2" a="1"/>
  <c r="F261" i="2"/>
  <c r="E81" i="2" a="1"/>
  <c r="E81" i="2"/>
  <c r="H81" i="2" a="1"/>
  <c r="H81" i="2"/>
  <c r="D81" i="2" a="1"/>
  <c r="D81" i="2"/>
  <c r="K244" i="2" a="1"/>
  <c r="K244" i="2"/>
  <c r="G130" i="2" a="1"/>
  <c r="G130" i="2"/>
  <c r="G121" i="2" a="1"/>
  <c r="G121" i="2"/>
  <c r="D104" i="2" a="1"/>
  <c r="D104" i="2"/>
  <c r="I98" i="2" a="1"/>
  <c r="I98" i="2"/>
  <c r="D261" i="2" a="1"/>
  <c r="D261" i="2"/>
  <c r="J273" i="2" a="1"/>
  <c r="J273" i="2"/>
  <c r="N312" i="2" a="1"/>
  <c r="N312" i="2"/>
  <c r="K73" i="2" a="1"/>
  <c r="K73" i="2"/>
  <c r="G110" i="2" a="1"/>
  <c r="G110" i="2"/>
  <c r="J212" i="2" a="1"/>
  <c r="J212" i="2"/>
  <c r="G212" i="2" a="1"/>
  <c r="G212" i="2"/>
  <c r="L212" i="2" a="1"/>
  <c r="L212" i="2"/>
  <c r="N289" i="2" a="1"/>
  <c r="N289" i="2"/>
  <c r="N110" i="2" a="1"/>
  <c r="N110" i="2"/>
  <c r="G230" i="2" a="1"/>
  <c r="G230" i="2"/>
  <c r="M140" i="2" a="1"/>
  <c r="M140" i="2"/>
  <c r="C289" i="2" a="1"/>
  <c r="C289" i="2"/>
  <c r="I246" i="2" a="1"/>
  <c r="I246" i="2"/>
  <c r="J201" i="2" a="1"/>
  <c r="J201" i="2"/>
  <c r="K156" i="2" a="1"/>
  <c r="K156" i="2"/>
  <c r="H246" i="2" a="1"/>
  <c r="H246" i="2"/>
  <c r="C286" i="2" a="1"/>
  <c r="C286" i="2"/>
  <c r="I59" i="2" a="1"/>
  <c r="I59" i="2"/>
  <c r="D201" i="2" a="1"/>
  <c r="D201" i="2"/>
  <c r="M286" i="2" a="1"/>
  <c r="M286" i="2"/>
  <c r="K212" i="2" a="1"/>
  <c r="K212" i="2"/>
  <c r="G201" i="2" a="1"/>
  <c r="G201" i="2"/>
  <c r="E59" i="2" a="1"/>
  <c r="E59" i="2"/>
  <c r="K246" i="2" a="1"/>
  <c r="K246" i="2"/>
  <c r="F230" i="2" a="1"/>
  <c r="F230" i="2"/>
  <c r="L246" i="2" a="1"/>
  <c r="L246" i="2"/>
  <c r="I286" i="2" a="1"/>
  <c r="I286" i="2"/>
  <c r="L110" i="2" a="1"/>
  <c r="L110" i="2"/>
  <c r="D286" i="2" a="1"/>
  <c r="D286" i="2"/>
  <c r="J156" i="2" a="1"/>
  <c r="J156" i="2"/>
  <c r="M230" i="2" a="1"/>
  <c r="M230" i="2"/>
  <c r="H212" i="2" a="1"/>
  <c r="H212" i="2"/>
  <c r="K201" i="2" a="1"/>
  <c r="K201" i="2"/>
  <c r="G59" i="2" a="1"/>
  <c r="G59" i="2"/>
  <c r="N246" i="2" a="1"/>
  <c r="N246" i="2"/>
  <c r="G246" i="2" a="1"/>
  <c r="G246" i="2"/>
  <c r="C201" i="2" a="1"/>
  <c r="C201" i="2"/>
  <c r="F140" i="2" a="1"/>
  <c r="F140" i="2"/>
  <c r="E286" i="2" a="1"/>
  <c r="E286" i="2"/>
  <c r="F156" i="2" a="1"/>
  <c r="F156" i="2"/>
  <c r="J110" i="2" a="1"/>
  <c r="J110" i="2"/>
  <c r="N286" i="2" a="1"/>
  <c r="N286" i="2"/>
  <c r="N156" i="2" a="1"/>
  <c r="N156" i="2"/>
  <c r="F286" i="2" a="1"/>
  <c r="F286" i="2"/>
  <c r="C140" i="2" a="1"/>
  <c r="C140" i="2"/>
  <c r="K289" i="2" a="1"/>
  <c r="K289" i="2"/>
  <c r="L201" i="2" a="1"/>
  <c r="L201" i="2"/>
  <c r="D289" i="2" a="1"/>
  <c r="D289" i="2"/>
  <c r="C246" i="2" a="1"/>
  <c r="C246" i="2"/>
  <c r="I201" i="2" a="1"/>
  <c r="I201" i="2"/>
  <c r="H140" i="2" a="1"/>
  <c r="H140" i="2"/>
  <c r="K230" i="2" a="1"/>
  <c r="K230" i="2"/>
  <c r="H59" i="2" a="1"/>
  <c r="H59" i="2"/>
  <c r="N59" i="2" a="1"/>
  <c r="N59" i="2"/>
  <c r="J286" i="2" a="1"/>
  <c r="J286" i="2"/>
  <c r="M212" i="2" a="1"/>
  <c r="M212" i="2"/>
  <c r="K59" i="2" a="1"/>
  <c r="K59" i="2"/>
  <c r="E140" i="2" a="1"/>
  <c r="E140" i="2"/>
  <c r="D156" i="2" a="1"/>
  <c r="D156" i="2"/>
  <c r="I212" i="2" a="1"/>
  <c r="I212" i="2"/>
  <c r="F59" i="2" a="1"/>
  <c r="F59" i="2"/>
  <c r="L59" i="2" a="1"/>
  <c r="L59" i="2"/>
  <c r="I230" i="2" a="1"/>
  <c r="I230" i="2"/>
  <c r="I156" i="2" a="1"/>
  <c r="I156" i="2"/>
  <c r="L289" i="2" a="1"/>
  <c r="L289" i="2"/>
  <c r="N230" i="2" a="1"/>
  <c r="N230" i="2"/>
  <c r="K286" i="2" a="1"/>
  <c r="K286" i="2"/>
  <c r="L156" i="2" a="1"/>
  <c r="L156" i="2"/>
  <c r="L230" i="2" a="1"/>
  <c r="L230" i="2"/>
  <c r="E110" i="2" a="1"/>
  <c r="E110" i="2"/>
  <c r="D246" i="2" a="1"/>
  <c r="D246" i="2"/>
  <c r="I110" i="2" a="1"/>
  <c r="I110" i="2"/>
  <c r="M59" i="2" a="1"/>
  <c r="M59" i="2"/>
  <c r="H156" i="2" a="1"/>
  <c r="H156" i="2"/>
  <c r="L140" i="2" a="1"/>
  <c r="L140" i="2"/>
  <c r="M246" i="2" a="1"/>
  <c r="M246" i="2"/>
  <c r="E212" i="2" a="1"/>
  <c r="E212" i="2"/>
  <c r="G286" i="2" a="1"/>
  <c r="G286" i="2"/>
  <c r="M156" i="2" a="1"/>
  <c r="M156" i="2"/>
  <c r="M110" i="2" a="1"/>
  <c r="M110" i="2"/>
  <c r="E289" i="2" a="1"/>
  <c r="E289" i="2"/>
  <c r="E201" i="2" a="1"/>
  <c r="E201" i="2"/>
  <c r="J140" i="2" a="1"/>
  <c r="J140" i="2"/>
  <c r="C230" i="2" a="1"/>
  <c r="C230" i="2"/>
  <c r="J246" i="2" a="1"/>
  <c r="J246" i="2"/>
  <c r="G289" i="2" a="1"/>
  <c r="G289" i="2"/>
  <c r="F246" i="2" a="1"/>
  <c r="F246" i="2"/>
  <c r="D230" i="2" a="1"/>
  <c r="D230" i="2"/>
  <c r="D212" i="2" a="1"/>
  <c r="D212" i="2"/>
  <c r="C212" i="2" a="1"/>
  <c r="C212" i="2"/>
  <c r="N201" i="2" a="1"/>
  <c r="N201" i="2"/>
  <c r="H110" i="2" a="1"/>
  <c r="H110" i="2"/>
  <c r="I289" i="2" a="1"/>
  <c r="I289" i="2"/>
  <c r="M289" i="2" a="1"/>
  <c r="M289" i="2"/>
  <c r="M201" i="2" a="1"/>
  <c r="M201" i="2"/>
  <c r="N140" i="2" a="1"/>
  <c r="N140" i="2"/>
  <c r="H230" i="2" a="1"/>
  <c r="H230" i="2"/>
  <c r="G156" i="2" a="1"/>
  <c r="G156" i="2"/>
  <c r="F110" i="2" a="1"/>
  <c r="F110" i="2"/>
  <c r="H201" i="2" a="1"/>
  <c r="H201" i="2"/>
  <c r="C59" i="2" a="1"/>
  <c r="C59" i="2"/>
  <c r="G140" i="2" a="1"/>
  <c r="G140" i="2"/>
  <c r="I140" i="2" a="1"/>
  <c r="I140" i="2"/>
  <c r="D59" i="2" a="1"/>
  <c r="D59" i="2"/>
  <c r="D140" i="2" a="1"/>
  <c r="D140" i="2"/>
  <c r="E230" i="2" a="1"/>
  <c r="E230" i="2"/>
  <c r="K110" i="2" a="1"/>
  <c r="K110" i="2"/>
  <c r="C156" i="2" a="1"/>
  <c r="C156" i="2"/>
  <c r="H289" i="2" a="1"/>
  <c r="H289" i="2"/>
  <c r="C110" i="2" a="1"/>
  <c r="C110" i="2"/>
  <c r="H286" i="2" a="1"/>
  <c r="H286" i="2"/>
  <c r="L286" i="2" a="1"/>
  <c r="L286" i="2"/>
  <c r="J59" i="2" a="1"/>
  <c r="J59" i="2"/>
  <c r="F289" i="2" a="1"/>
  <c r="F289" i="2"/>
  <c r="E246" i="2" a="1"/>
  <c r="E246" i="2"/>
  <c r="D110" i="2" a="1"/>
  <c r="D110" i="2"/>
  <c r="J289" i="2" a="1"/>
  <c r="J289" i="2"/>
  <c r="F201" i="2" a="1"/>
  <c r="F201" i="2"/>
  <c r="K140" i="2" a="1"/>
  <c r="K140" i="2"/>
  <c r="E156" i="2" a="1"/>
  <c r="E156" i="2"/>
  <c r="F212" i="2" a="1"/>
  <c r="F212" i="2"/>
  <c r="J230" i="2" a="1"/>
  <c r="J230" i="2"/>
  <c r="N212" i="2" a="1"/>
  <c r="N212" i="2"/>
  <c r="E228" i="2" a="1"/>
  <c r="E228" i="2"/>
  <c r="L283" i="2" a="1"/>
  <c r="L283" i="2"/>
  <c r="J240" i="2" a="1"/>
  <c r="J240" i="2"/>
  <c r="C283" i="2" a="1"/>
  <c r="C283" i="2"/>
  <c r="M252" i="2" a="1"/>
  <c r="M252" i="2"/>
  <c r="J283" i="2" a="1"/>
  <c r="J283" i="2"/>
  <c r="L228" i="2" a="1"/>
  <c r="L228" i="2"/>
  <c r="D4" i="2" a="1"/>
  <c r="D4" i="2"/>
  <c r="N198" i="2" a="1"/>
  <c r="N198" i="2"/>
  <c r="F198" i="2" a="1"/>
  <c r="F198" i="2"/>
  <c r="I227" i="2" a="1"/>
  <c r="I227" i="2"/>
  <c r="J306" i="2" a="1"/>
  <c r="J306" i="2"/>
  <c r="J106" i="2" a="1"/>
  <c r="J106" i="2"/>
  <c r="L57" i="2" a="1"/>
  <c r="L57" i="2"/>
  <c r="M228" i="2" a="1"/>
  <c r="M228" i="2"/>
  <c r="D106" i="2" a="1"/>
  <c r="D106" i="2"/>
  <c r="H240" i="2" a="1"/>
  <c r="H240" i="2"/>
  <c r="E4" i="2" a="1"/>
  <c r="E4" i="2"/>
  <c r="D57" i="2" a="1"/>
  <c r="D57" i="2"/>
  <c r="C306" i="2" a="1"/>
  <c r="C306" i="2"/>
  <c r="C57" i="2" a="1"/>
  <c r="C57" i="2"/>
  <c r="H227" i="2" a="1"/>
  <c r="H227" i="2"/>
  <c r="L252" i="2" a="1"/>
  <c r="L252" i="2"/>
  <c r="H306" i="2" a="1"/>
  <c r="H306" i="2"/>
  <c r="K306" i="2" a="1"/>
  <c r="K306" i="2"/>
  <c r="G252" i="2" a="1"/>
  <c r="G252" i="2"/>
  <c r="J4" i="2" a="1"/>
  <c r="J4" i="2"/>
  <c r="C4" i="2" a="1"/>
  <c r="C4" i="2"/>
  <c r="J198" i="2" a="1"/>
  <c r="J198" i="2"/>
  <c r="F283" i="2" a="1"/>
  <c r="F283" i="2"/>
  <c r="F240" i="2" a="1"/>
  <c r="F240" i="2"/>
  <c r="C106" i="2" a="1"/>
  <c r="C106" i="2"/>
  <c r="F106" i="2" a="1"/>
  <c r="F106" i="2"/>
  <c r="C252" i="2" a="1"/>
  <c r="C252" i="2"/>
  <c r="E252" i="2" a="1"/>
  <c r="E252" i="2"/>
  <c r="L306" i="2" a="1"/>
  <c r="L306" i="2"/>
  <c r="I283" i="2" a="1"/>
  <c r="I283" i="2"/>
  <c r="K4" i="2" a="1"/>
  <c r="K4" i="2"/>
  <c r="E198" i="2" a="1"/>
  <c r="E198" i="2"/>
  <c r="D306" i="2" a="1"/>
  <c r="D306" i="2"/>
  <c r="L106" i="2" a="1"/>
  <c r="L106" i="2"/>
  <c r="G306" i="2" a="1"/>
  <c r="G306" i="2"/>
  <c r="G198" i="2" a="1"/>
  <c r="G198" i="2"/>
  <c r="F228" i="2" a="1"/>
  <c r="F228" i="2"/>
  <c r="C227" i="2" a="1"/>
  <c r="C227" i="2"/>
  <c r="H252" i="2" a="1"/>
  <c r="H252" i="2"/>
  <c r="M240" i="2" a="1"/>
  <c r="M240" i="2"/>
  <c r="C228" i="2" a="1"/>
  <c r="C228" i="2"/>
  <c r="G240" i="2" a="1"/>
  <c r="G240" i="2"/>
  <c r="M106" i="2" a="1"/>
  <c r="M106" i="2"/>
  <c r="E283" i="2" a="1"/>
  <c r="E283" i="2"/>
  <c r="G57" i="2" a="1"/>
  <c r="G57" i="2"/>
  <c r="K283" i="2" a="1"/>
  <c r="K283" i="2"/>
  <c r="K198" i="2" a="1"/>
  <c r="K198" i="2"/>
  <c r="D198" i="2" a="1"/>
  <c r="D198" i="2"/>
  <c r="D252" i="2" a="1"/>
  <c r="D252" i="2"/>
  <c r="N4" i="2" a="1"/>
  <c r="N4" i="2"/>
  <c r="M198" i="2" a="1"/>
  <c r="M198" i="2"/>
  <c r="M283" i="2" a="1"/>
  <c r="M283" i="2"/>
  <c r="G228" i="2" a="1"/>
  <c r="G228" i="2"/>
  <c r="G4" i="2" a="1"/>
  <c r="G4" i="2"/>
  <c r="K252" i="2" a="1"/>
  <c r="K252" i="2"/>
  <c r="N283" i="2" a="1"/>
  <c r="N283" i="2"/>
  <c r="I4" i="2" a="1"/>
  <c r="I4" i="2"/>
  <c r="K240" i="2" a="1"/>
  <c r="K240" i="2"/>
  <c r="F57" i="2" a="1"/>
  <c r="F57" i="2"/>
  <c r="F4" i="2" a="1"/>
  <c r="F4" i="2"/>
  <c r="L4" i="2" a="1"/>
  <c r="L4" i="2"/>
  <c r="L240" i="2" a="1"/>
  <c r="L240" i="2"/>
  <c r="L227" i="2" a="1"/>
  <c r="L227" i="2"/>
  <c r="H283" i="2" a="1"/>
  <c r="H283" i="2"/>
  <c r="F306" i="2" a="1"/>
  <c r="F306" i="2"/>
  <c r="N240" i="2" a="1"/>
  <c r="N240" i="2"/>
  <c r="E240" i="2" a="1"/>
  <c r="E240" i="2"/>
  <c r="I106" i="2" a="1"/>
  <c r="I106" i="2"/>
  <c r="I228" i="2" a="1"/>
  <c r="I228" i="2"/>
  <c r="C198" i="2" a="1"/>
  <c r="C198" i="2"/>
  <c r="G227" i="2" a="1"/>
  <c r="G227" i="2"/>
  <c r="D228" i="2" a="1"/>
  <c r="D228" i="2"/>
  <c r="M306" i="2" a="1"/>
  <c r="M306" i="2"/>
  <c r="M227" i="2" a="1"/>
  <c r="M227" i="2"/>
  <c r="D227" i="2" a="1"/>
  <c r="D227" i="2"/>
  <c r="E57" i="2" a="1"/>
  <c r="E57" i="2"/>
  <c r="J57" i="2" a="1"/>
  <c r="J57" i="2"/>
  <c r="K227" i="2" a="1"/>
  <c r="K227" i="2"/>
  <c r="M4" i="2" a="1"/>
  <c r="M4" i="2"/>
  <c r="E106" i="2" a="1"/>
  <c r="E106" i="2"/>
  <c r="G106" i="2" a="1"/>
  <c r="G106" i="2"/>
  <c r="N57" i="2" a="1"/>
  <c r="N57" i="2"/>
  <c r="N306" i="2" a="1"/>
  <c r="N306" i="2"/>
  <c r="N227" i="2" a="1"/>
  <c r="N227" i="2"/>
  <c r="D240" i="2" a="1"/>
  <c r="D240" i="2"/>
  <c r="K106" i="2" a="1"/>
  <c r="K106" i="2"/>
  <c r="H198" i="2" a="1"/>
  <c r="H198" i="2"/>
  <c r="N106" i="2" a="1"/>
  <c r="N106" i="2"/>
  <c r="I57" i="2" a="1"/>
  <c r="I57" i="2"/>
  <c r="J228" i="2" a="1"/>
  <c r="J228" i="2"/>
  <c r="C240" i="2" a="1"/>
  <c r="C240" i="2"/>
  <c r="M57" i="2" a="1"/>
  <c r="M57" i="2"/>
  <c r="N228" i="2" a="1"/>
  <c r="N228" i="2"/>
  <c r="I198" i="2" a="1"/>
  <c r="I198" i="2"/>
  <c r="I252" i="2" a="1"/>
  <c r="I252" i="2"/>
  <c r="N252" i="2" a="1"/>
  <c r="N252" i="2"/>
  <c r="K57" i="2" a="1"/>
  <c r="K57" i="2"/>
  <c r="J227" i="2" a="1"/>
  <c r="J227" i="2"/>
  <c r="H228" i="2" a="1"/>
  <c r="H228" i="2"/>
  <c r="E227" i="2" a="1"/>
  <c r="E227" i="2"/>
  <c r="F252" i="2" a="1"/>
  <c r="F252" i="2"/>
  <c r="E306" i="2" a="1"/>
  <c r="E306" i="2"/>
  <c r="D283" i="2" a="1"/>
  <c r="D283" i="2"/>
  <c r="G283" i="2" a="1"/>
  <c r="G283" i="2"/>
  <c r="K228" i="2" a="1"/>
  <c r="K228" i="2"/>
  <c r="H106" i="2" a="1"/>
  <c r="H106" i="2"/>
  <c r="I240" i="2" a="1"/>
  <c r="I240" i="2"/>
  <c r="L198" i="2" a="1"/>
  <c r="L198" i="2"/>
  <c r="F227" i="2" a="1"/>
  <c r="F227" i="2"/>
  <c r="J252" i="2" a="1"/>
  <c r="J252" i="2"/>
  <c r="I306" i="2" a="1"/>
  <c r="I306" i="2"/>
  <c r="H4" i="2" a="1"/>
  <c r="H4" i="2"/>
  <c r="H57" i="2" a="1"/>
  <c r="H57" i="2"/>
  <c r="C13" i="2" a="1"/>
  <c r="C13" i="2"/>
  <c r="N316" i="2" a="1"/>
  <c r="N316" i="2"/>
  <c r="D10" i="2" a="1"/>
  <c r="D10" i="2"/>
  <c r="I13" i="2" a="1"/>
  <c r="I13" i="2"/>
  <c r="K167" i="2" a="1"/>
  <c r="K167" i="2"/>
  <c r="E135" i="2" a="1"/>
  <c r="E135" i="2"/>
  <c r="C82" i="2" a="1"/>
  <c r="C82" i="2"/>
  <c r="D160" i="2" a="1"/>
  <c r="D160" i="2"/>
  <c r="J316" i="2" a="1"/>
  <c r="J316" i="2"/>
  <c r="F10" i="2" a="1"/>
  <c r="F10" i="2"/>
  <c r="F135" i="2" a="1"/>
  <c r="F135" i="2"/>
  <c r="H135" i="2" a="1"/>
  <c r="H135" i="2"/>
  <c r="F145" i="2" a="1"/>
  <c r="F145" i="2"/>
  <c r="K316" i="2" a="1"/>
  <c r="K316" i="2"/>
  <c r="K160" i="2" a="1"/>
  <c r="K160" i="2"/>
  <c r="K82" i="2" a="1"/>
  <c r="K82" i="2"/>
  <c r="I145" i="2" a="1"/>
  <c r="I145" i="2"/>
  <c r="J167" i="2" a="1"/>
  <c r="J167" i="2"/>
  <c r="N13" i="2" a="1"/>
  <c r="N13" i="2"/>
  <c r="C167" i="2" a="1"/>
  <c r="C167" i="2"/>
  <c r="D316" i="2" a="1"/>
  <c r="D316" i="2"/>
  <c r="G10" i="2" a="1"/>
  <c r="G10" i="2"/>
  <c r="L49" i="2" a="1"/>
  <c r="L49" i="2"/>
  <c r="G13" i="2" a="1"/>
  <c r="G13" i="2"/>
  <c r="E160" i="2" a="1"/>
  <c r="E160" i="2"/>
  <c r="M145" i="2" a="1"/>
  <c r="M145" i="2"/>
  <c r="C316" i="2" a="1"/>
  <c r="C316" i="2"/>
  <c r="H82" i="2" a="1"/>
  <c r="H82" i="2"/>
  <c r="C49" i="2" a="1"/>
  <c r="C49" i="2"/>
  <c r="G49" i="2" a="1"/>
  <c r="G49" i="2"/>
  <c r="I167" i="2" a="1"/>
  <c r="I167" i="2"/>
  <c r="N127" i="2" a="1"/>
  <c r="N127" i="2"/>
  <c r="J127" i="2" a="1"/>
  <c r="J127" i="2"/>
  <c r="M82" i="2" a="1"/>
  <c r="M82" i="2"/>
  <c r="M316" i="2" a="1"/>
  <c r="M316" i="2"/>
  <c r="G160" i="2" a="1"/>
  <c r="G160" i="2"/>
  <c r="N145" i="2" a="1"/>
  <c r="N145" i="2"/>
  <c r="G82" i="2" a="1"/>
  <c r="G82" i="2"/>
  <c r="E82" i="2" a="1"/>
  <c r="E82" i="2"/>
  <c r="L13" i="2" a="1"/>
  <c r="L13" i="2"/>
  <c r="L160" i="2" a="1"/>
  <c r="L160" i="2"/>
  <c r="M160" i="2" a="1"/>
  <c r="M160" i="2"/>
  <c r="L145" i="2" a="1"/>
  <c r="L145" i="2"/>
  <c r="H316" i="2" a="1"/>
  <c r="H316" i="2"/>
  <c r="F167" i="2" a="1"/>
  <c r="F167" i="2"/>
  <c r="E145" i="2" a="1"/>
  <c r="E145" i="2"/>
  <c r="H160" i="2" a="1"/>
  <c r="H160" i="2"/>
  <c r="D135" i="2" a="1"/>
  <c r="D135" i="2"/>
  <c r="I160" i="2" a="1"/>
  <c r="I160" i="2"/>
  <c r="I316" i="2" a="1"/>
  <c r="I316" i="2"/>
  <c r="D82" i="2" a="1"/>
  <c r="D82" i="2"/>
  <c r="M13" i="2" a="1"/>
  <c r="M13" i="2"/>
  <c r="K127" i="2" a="1"/>
  <c r="K127" i="2"/>
  <c r="J82" i="2" a="1"/>
  <c r="J82" i="2"/>
  <c r="F127" i="2" a="1"/>
  <c r="F127" i="2"/>
  <c r="M10" i="2" a="1"/>
  <c r="M10" i="2"/>
  <c r="F13" i="2" a="1"/>
  <c r="F13" i="2"/>
  <c r="N160" i="2" a="1"/>
  <c r="N160" i="2"/>
  <c r="G167" i="2" a="1"/>
  <c r="G167" i="2"/>
  <c r="E13" i="2" a="1"/>
  <c r="E13" i="2"/>
  <c r="E167" i="2" a="1"/>
  <c r="E167" i="2"/>
  <c r="H10" i="2" a="1"/>
  <c r="H10" i="2"/>
  <c r="F316" i="2" a="1"/>
  <c r="F316" i="2"/>
  <c r="L167" i="2" a="1"/>
  <c r="L167" i="2"/>
  <c r="D167" i="2" a="1"/>
  <c r="D167" i="2"/>
  <c r="D127" i="2" a="1"/>
  <c r="D127" i="2"/>
  <c r="M167" i="2" a="1"/>
  <c r="M167" i="2"/>
  <c r="J160" i="2" a="1"/>
  <c r="J160" i="2"/>
  <c r="G145" i="2" a="1"/>
  <c r="G145" i="2"/>
  <c r="L135" i="2" a="1"/>
  <c r="L135" i="2"/>
  <c r="I82" i="2" a="1"/>
  <c r="I82" i="2"/>
  <c r="C145" i="2" a="1"/>
  <c r="C145" i="2"/>
  <c r="D145" i="2" a="1"/>
  <c r="D145" i="2"/>
  <c r="N49" i="2" a="1"/>
  <c r="N49" i="2"/>
  <c r="C127" i="2" a="1"/>
  <c r="C127" i="2"/>
  <c r="J10" i="2" a="1"/>
  <c r="J10" i="2"/>
  <c r="E127" i="2" a="1"/>
  <c r="E127" i="2"/>
  <c r="I127" i="2" a="1"/>
  <c r="I127" i="2"/>
  <c r="J49" i="2" a="1"/>
  <c r="J49" i="2"/>
  <c r="K49" i="2" a="1"/>
  <c r="K49" i="2"/>
  <c r="D13" i="2" a="1"/>
  <c r="D13" i="2"/>
  <c r="C10" i="2" a="1"/>
  <c r="C10" i="2"/>
  <c r="E49" i="2" a="1"/>
  <c r="E49" i="2"/>
  <c r="N10" i="2" a="1"/>
  <c r="N10" i="2"/>
  <c r="E10" i="2" a="1"/>
  <c r="E10" i="2"/>
  <c r="I10" i="2" a="1"/>
  <c r="I10" i="2"/>
  <c r="K135" i="2" a="1"/>
  <c r="K135" i="2"/>
  <c r="J135" i="2" a="1"/>
  <c r="J135" i="2"/>
  <c r="K145" i="2" a="1"/>
  <c r="K145" i="2"/>
  <c r="C135" i="2" a="1"/>
  <c r="C135" i="2"/>
  <c r="L10" i="2" a="1"/>
  <c r="L10" i="2"/>
  <c r="K13" i="2" a="1"/>
  <c r="K13" i="2"/>
  <c r="G127" i="2" a="1"/>
  <c r="G127" i="2"/>
  <c r="I49" i="2" a="1"/>
  <c r="I49" i="2"/>
  <c r="N135" i="2" a="1"/>
  <c r="N135" i="2"/>
  <c r="N167" i="2" a="1"/>
  <c r="N167" i="2"/>
  <c r="H145" i="2" a="1"/>
  <c r="H145" i="2"/>
  <c r="F82" i="2" a="1"/>
  <c r="F82" i="2"/>
  <c r="D49" i="2" a="1"/>
  <c r="D49" i="2"/>
  <c r="E316" i="2" a="1"/>
  <c r="E316" i="2"/>
  <c r="H127" i="2" a="1"/>
  <c r="H127" i="2"/>
  <c r="N82" i="2" a="1"/>
  <c r="N82" i="2"/>
  <c r="M49" i="2" a="1"/>
  <c r="M49" i="2"/>
  <c r="J13" i="2" a="1"/>
  <c r="J13" i="2"/>
  <c r="L127" i="2" a="1"/>
  <c r="L127" i="2"/>
  <c r="M135" i="2" a="1"/>
  <c r="M135" i="2"/>
  <c r="I135" i="2" a="1"/>
  <c r="I135" i="2"/>
  <c r="G316" i="2" a="1"/>
  <c r="G316" i="2"/>
  <c r="F160" i="2" a="1"/>
  <c r="F160" i="2"/>
  <c r="F49" i="2" a="1"/>
  <c r="F49" i="2"/>
  <c r="H49" i="2" a="1"/>
  <c r="H49" i="2"/>
  <c r="L316" i="2" a="1"/>
  <c r="L316" i="2"/>
  <c r="K10" i="2" a="1"/>
  <c r="K10" i="2"/>
  <c r="H13" i="2" a="1"/>
  <c r="H13" i="2"/>
  <c r="J145" i="2" a="1"/>
  <c r="J145" i="2"/>
  <c r="G135" i="2" a="1"/>
  <c r="G135" i="2"/>
  <c r="H167" i="2" a="1"/>
  <c r="H167" i="2"/>
  <c r="M127" i="2" a="1"/>
  <c r="M127" i="2"/>
  <c r="L82" i="2" a="1"/>
  <c r="L82" i="2"/>
  <c r="C160" i="2" a="1"/>
  <c r="C160" i="2"/>
  <c r="J277" i="2" a="1"/>
  <c r="J277" i="2"/>
  <c r="K269" i="2" a="1"/>
  <c r="K269" i="2"/>
  <c r="J39" i="2" a="1"/>
  <c r="J39" i="2"/>
  <c r="H277" i="2" a="1"/>
  <c r="H277" i="2"/>
  <c r="C69" i="2" a="1"/>
  <c r="C69" i="2"/>
  <c r="E163" i="2" a="1"/>
  <c r="E163" i="2"/>
  <c r="K39" i="2" a="1"/>
  <c r="K39" i="2"/>
  <c r="I12" i="2" a="1"/>
  <c r="I12" i="2"/>
  <c r="I269" i="2" a="1"/>
  <c r="I269" i="2"/>
  <c r="I277" i="2" a="1"/>
  <c r="I277" i="2"/>
  <c r="N12" i="2" a="1"/>
  <c r="N12" i="2"/>
  <c r="C163" i="2" a="1"/>
  <c r="C163" i="2"/>
  <c r="G269" i="2" a="1"/>
  <c r="G269" i="2"/>
  <c r="F277" i="2" a="1"/>
  <c r="F277" i="2"/>
  <c r="N277" i="2" a="1"/>
  <c r="N277" i="2"/>
  <c r="I129" i="2" a="1"/>
  <c r="I129" i="2"/>
  <c r="E72" i="2" a="1"/>
  <c r="E72" i="2"/>
  <c r="E69" i="2" a="1"/>
  <c r="E69" i="2"/>
  <c r="K19" i="2" a="1"/>
  <c r="K19" i="2"/>
  <c r="M72" i="2" a="1"/>
  <c r="M72" i="2"/>
  <c r="I72" i="2" a="1"/>
  <c r="I72" i="2"/>
  <c r="G72" i="2" a="1"/>
  <c r="G72" i="2"/>
  <c r="E129" i="2" a="1"/>
  <c r="E129" i="2"/>
  <c r="L269" i="2" a="1"/>
  <c r="L269" i="2"/>
  <c r="L19" i="2" a="1"/>
  <c r="L19" i="2"/>
  <c r="F39" i="2" a="1"/>
  <c r="F39" i="2"/>
  <c r="L39" i="2" a="1"/>
  <c r="L39" i="2"/>
  <c r="N129" i="2" a="1"/>
  <c r="N129" i="2"/>
  <c r="I19" i="2" a="1"/>
  <c r="I19" i="2"/>
  <c r="H19" i="2" a="1"/>
  <c r="H19" i="2"/>
  <c r="J72" i="2" a="1"/>
  <c r="J72" i="2"/>
  <c r="C129" i="2" a="1"/>
  <c r="C129" i="2"/>
  <c r="I245" i="2" a="1"/>
  <c r="I245" i="2"/>
  <c r="F19" i="2" a="1"/>
  <c r="F19" i="2"/>
  <c r="G69" i="2" a="1"/>
  <c r="G69" i="2"/>
  <c r="K245" i="2" a="1"/>
  <c r="K245" i="2"/>
  <c r="E245" i="2" a="1"/>
  <c r="E245" i="2"/>
  <c r="G129" i="2" a="1"/>
  <c r="G129" i="2"/>
  <c r="L12" i="2" a="1"/>
  <c r="L12" i="2"/>
  <c r="L245" i="2" a="1"/>
  <c r="L245" i="2"/>
  <c r="L277" i="2" a="1"/>
  <c r="L277" i="2"/>
  <c r="D277" i="2" a="1"/>
  <c r="D277" i="2"/>
  <c r="J69" i="2" a="1"/>
  <c r="J69" i="2"/>
  <c r="K12" i="2" a="1"/>
  <c r="K12" i="2"/>
  <c r="N163" i="2" a="1"/>
  <c r="N163" i="2"/>
  <c r="J12" i="2" a="1"/>
  <c r="J12" i="2"/>
  <c r="N72" i="2" a="1"/>
  <c r="N72" i="2"/>
  <c r="J129" i="2" a="1"/>
  <c r="J129" i="2"/>
  <c r="G19" i="2" a="1"/>
  <c r="G19" i="2"/>
  <c r="K163" i="2" a="1"/>
  <c r="K163" i="2"/>
  <c r="E19" i="2" a="1"/>
  <c r="E19" i="2"/>
  <c r="J245" i="2" a="1"/>
  <c r="J245" i="2"/>
  <c r="L72" i="2" a="1"/>
  <c r="L72" i="2"/>
  <c r="C269" i="2" a="1"/>
  <c r="C269" i="2"/>
  <c r="D129" i="2" a="1"/>
  <c r="D129" i="2"/>
  <c r="F129" i="2" a="1"/>
  <c r="F129" i="2"/>
  <c r="J163" i="2" a="1"/>
  <c r="J163" i="2"/>
  <c r="D163" i="2" a="1"/>
  <c r="D163" i="2"/>
  <c r="D19" i="2" a="1"/>
  <c r="D19" i="2"/>
  <c r="G163" i="2" a="1"/>
  <c r="G163" i="2"/>
  <c r="M12" i="2" a="1"/>
  <c r="M12" i="2"/>
  <c r="H129" i="2" a="1"/>
  <c r="H129" i="2"/>
  <c r="D269" i="2" a="1"/>
  <c r="D269" i="2"/>
  <c r="E39" i="2" a="1"/>
  <c r="E39" i="2"/>
  <c r="G245" i="2" a="1"/>
  <c r="G245" i="2"/>
  <c r="D72" i="2" a="1"/>
  <c r="D72" i="2"/>
  <c r="J269" i="2" a="1"/>
  <c r="J269" i="2"/>
  <c r="G277" i="2" a="1"/>
  <c r="G277" i="2"/>
  <c r="J19" i="2" a="1"/>
  <c r="J19" i="2"/>
  <c r="C72" i="2" a="1"/>
  <c r="C72" i="2"/>
  <c r="H69" i="2" a="1"/>
  <c r="H69" i="2"/>
  <c r="N269" i="2" a="1"/>
  <c r="N269" i="2"/>
  <c r="E269" i="2" a="1"/>
  <c r="E269" i="2"/>
  <c r="F163" i="2" a="1"/>
  <c r="F163" i="2"/>
  <c r="D12" i="2" a="1"/>
  <c r="D12" i="2"/>
  <c r="F69" i="2" a="1"/>
  <c r="F69" i="2"/>
  <c r="N39" i="2" a="1"/>
  <c r="N39" i="2"/>
  <c r="C39" i="2" a="1"/>
  <c r="C39" i="2"/>
  <c r="H245" i="2" a="1"/>
  <c r="H245" i="2"/>
  <c r="E12" i="2" a="1"/>
  <c r="E12" i="2"/>
  <c r="L163" i="2" a="1"/>
  <c r="L163" i="2"/>
  <c r="L129" i="2" a="1"/>
  <c r="L129" i="2"/>
  <c r="N245" i="2" a="1"/>
  <c r="N245" i="2"/>
  <c r="I39" i="2" a="1"/>
  <c r="I39" i="2"/>
  <c r="C19" i="2" a="1"/>
  <c r="C19" i="2"/>
  <c r="G39" i="2" a="1"/>
  <c r="G39" i="2"/>
  <c r="L69" i="2" a="1"/>
  <c r="L69" i="2"/>
  <c r="M163" i="2" a="1"/>
  <c r="M163" i="2"/>
  <c r="H72" i="2" a="1"/>
  <c r="H72" i="2"/>
  <c r="C245" i="2" a="1"/>
  <c r="C245" i="2"/>
  <c r="F12" i="2" a="1"/>
  <c r="F12" i="2"/>
  <c r="M269" i="2" a="1"/>
  <c r="M269" i="2"/>
  <c r="H269" i="2" a="1"/>
  <c r="H269" i="2"/>
  <c r="K129" i="2" a="1"/>
  <c r="K129" i="2"/>
  <c r="D245" i="2" a="1"/>
  <c r="D245" i="2"/>
  <c r="I163" i="2" a="1"/>
  <c r="I163" i="2"/>
  <c r="D69" i="2" a="1"/>
  <c r="D69" i="2"/>
  <c r="C277" i="2" a="1"/>
  <c r="C277" i="2"/>
  <c r="M19" i="2" a="1"/>
  <c r="M19" i="2"/>
  <c r="C12" i="2" a="1"/>
  <c r="C12" i="2"/>
  <c r="G12" i="2" a="1"/>
  <c r="G12" i="2"/>
  <c r="M277" i="2" a="1"/>
  <c r="M277" i="2"/>
  <c r="K69" i="2" a="1"/>
  <c r="K69" i="2"/>
  <c r="D39" i="2" a="1"/>
  <c r="D39" i="2"/>
  <c r="M69" i="2" a="1"/>
  <c r="M69" i="2"/>
  <c r="I69" i="2" a="1"/>
  <c r="I69" i="2"/>
  <c r="K277" i="2" a="1"/>
  <c r="K277" i="2"/>
  <c r="M245" i="2" a="1"/>
  <c r="M245" i="2"/>
  <c r="H39" i="2" a="1"/>
  <c r="H39" i="2"/>
  <c r="K72" i="2" a="1"/>
  <c r="K72" i="2"/>
  <c r="M39" i="2" a="1"/>
  <c r="M39" i="2"/>
  <c r="F72" i="2" a="1"/>
  <c r="F72" i="2"/>
  <c r="N69" i="2" a="1"/>
  <c r="N69" i="2"/>
  <c r="H12" i="2" a="1"/>
  <c r="H12" i="2"/>
  <c r="F269" i="2" a="1"/>
  <c r="F269" i="2"/>
  <c r="M129" i="2" a="1"/>
  <c r="M129" i="2"/>
  <c r="H163" i="2" a="1"/>
  <c r="H163" i="2"/>
  <c r="F245" i="2" a="1"/>
  <c r="F245" i="2"/>
  <c r="E277" i="2" a="1"/>
  <c r="E277" i="2"/>
  <c r="N19" i="2" a="1"/>
  <c r="N19" i="2"/>
  <c r="L196" i="2" a="1"/>
  <c r="L196" i="2"/>
  <c r="L27" i="2" a="1"/>
  <c r="L27" i="2"/>
  <c r="N292" i="2" a="1"/>
  <c r="N292" i="2"/>
  <c r="C161" i="2" a="1"/>
  <c r="C161" i="2"/>
  <c r="D225" i="2" a="1"/>
  <c r="D225" i="2"/>
  <c r="M225" i="2" a="1"/>
  <c r="M225" i="2"/>
  <c r="G225" i="2" a="1"/>
  <c r="G225" i="2"/>
  <c r="E255" i="2" a="1"/>
  <c r="E255" i="2"/>
  <c r="M292" i="2" a="1"/>
  <c r="M292" i="2"/>
  <c r="M185" i="2" a="1"/>
  <c r="M185" i="2"/>
  <c r="K225" i="2" a="1"/>
  <c r="K225" i="2"/>
  <c r="E103" i="2" a="1"/>
  <c r="E103" i="2"/>
  <c r="C88" i="2" a="1"/>
  <c r="C88" i="2"/>
  <c r="F292" i="2" a="1"/>
  <c r="F292" i="2"/>
  <c r="L214" i="2" a="1"/>
  <c r="L214" i="2"/>
  <c r="I107" i="2" a="1"/>
  <c r="I107" i="2"/>
  <c r="E182" i="2" a="1"/>
  <c r="E182" i="2"/>
  <c r="D103" i="2" a="1"/>
  <c r="D103" i="2"/>
  <c r="F255" i="2" a="1"/>
  <c r="F255" i="2"/>
  <c r="L185" i="2" a="1"/>
  <c r="L185" i="2"/>
  <c r="G214" i="2" a="1"/>
  <c r="G214" i="2"/>
  <c r="J32" i="2" a="1"/>
  <c r="J32" i="2"/>
  <c r="I161" i="2" a="1"/>
  <c r="I161" i="2"/>
  <c r="E90" i="2" a="1"/>
  <c r="E90" i="2"/>
  <c r="H32" i="2" a="1"/>
  <c r="H32" i="2"/>
  <c r="M300" i="2" a="1"/>
  <c r="M300" i="2"/>
  <c r="I196" i="2" a="1"/>
  <c r="I196" i="2"/>
  <c r="L32" i="2" a="1"/>
  <c r="L32" i="2"/>
  <c r="J107" i="2" a="1"/>
  <c r="J107" i="2"/>
  <c r="I300" i="2" a="1"/>
  <c r="I300" i="2"/>
  <c r="F50" i="2" a="1"/>
  <c r="F50" i="2"/>
  <c r="I90" i="2" a="1"/>
  <c r="I90" i="2"/>
  <c r="C27" i="2" a="1"/>
  <c r="C27" i="2"/>
  <c r="E107" i="2" a="1"/>
  <c r="E107" i="2"/>
  <c r="D88" i="2" a="1"/>
  <c r="D88" i="2"/>
  <c r="J271" i="2" a="1"/>
  <c r="J271" i="2"/>
  <c r="L292" i="2" a="1"/>
  <c r="L292" i="2"/>
  <c r="J103" i="2" a="1"/>
  <c r="J103" i="2"/>
  <c r="J27" i="2" a="1"/>
  <c r="J27" i="2"/>
  <c r="F271" i="2" a="1"/>
  <c r="F271" i="2"/>
  <c r="C185" i="2" a="1"/>
  <c r="C185" i="2"/>
  <c r="K27" i="2" a="1"/>
  <c r="K27" i="2"/>
  <c r="C103" i="2" a="1"/>
  <c r="C103" i="2"/>
  <c r="E300" i="2" a="1"/>
  <c r="E300" i="2"/>
  <c r="L225" i="2" a="1"/>
  <c r="L225" i="2"/>
  <c r="J300" i="2" a="1"/>
  <c r="J300" i="2"/>
  <c r="K255" i="2" a="1"/>
  <c r="K255" i="2"/>
  <c r="J88" i="2" a="1"/>
  <c r="J88" i="2"/>
  <c r="K185" i="2" a="1"/>
  <c r="K185" i="2"/>
  <c r="G182" i="2" a="1"/>
  <c r="G182" i="2"/>
  <c r="M50" i="2" a="1"/>
  <c r="M50" i="2"/>
  <c r="D292" i="2" a="1"/>
  <c r="D292" i="2"/>
  <c r="J161" i="2" a="1"/>
  <c r="J161" i="2"/>
  <c r="E214" i="2" a="1"/>
  <c r="E214" i="2"/>
  <c r="H68" i="2" a="1"/>
  <c r="H68" i="2"/>
  <c r="G27" i="2" a="1"/>
  <c r="G27" i="2"/>
  <c r="D161" i="2" a="1"/>
  <c r="D161" i="2"/>
  <c r="I271" i="2" a="1"/>
  <c r="I271" i="2"/>
  <c r="F300" i="2" a="1"/>
  <c r="F300" i="2"/>
  <c r="J54" i="2" a="1"/>
  <c r="J54" i="2"/>
  <c r="I182" i="2" a="1"/>
  <c r="I182" i="2"/>
  <c r="K107" i="2" a="1"/>
  <c r="K107" i="2"/>
  <c r="E271" i="2" a="1"/>
  <c r="E271" i="2"/>
  <c r="L107" i="2" a="1"/>
  <c r="L107" i="2"/>
  <c r="K161" i="2" a="1"/>
  <c r="K161" i="2"/>
  <c r="K103" i="2" a="1"/>
  <c r="K103" i="2"/>
  <c r="N103" i="2" a="1"/>
  <c r="N103" i="2"/>
  <c r="C292" i="2" a="1"/>
  <c r="C292" i="2"/>
  <c r="N27" i="2" a="1"/>
  <c r="N27" i="2"/>
  <c r="I292" i="2" a="1"/>
  <c r="I292" i="2"/>
  <c r="K54" i="2" a="1"/>
  <c r="K54" i="2"/>
  <c r="H196" i="2" a="1"/>
  <c r="H196" i="2"/>
  <c r="I27" i="2" a="1"/>
  <c r="I27" i="2"/>
  <c r="I214" i="2" a="1"/>
  <c r="I214" i="2"/>
  <c r="C32" i="2" a="1"/>
  <c r="C32" i="2"/>
  <c r="C225" i="2" a="1"/>
  <c r="C225" i="2"/>
  <c r="G32" i="2" a="1"/>
  <c r="G32" i="2"/>
  <c r="N214" i="2" a="1"/>
  <c r="N214" i="2"/>
  <c r="F196" i="2" a="1"/>
  <c r="F196" i="2"/>
  <c r="K154" i="2" a="1"/>
  <c r="K154" i="2"/>
  <c r="C196" i="2" a="1"/>
  <c r="C196" i="2"/>
  <c r="N50" i="2" a="1"/>
  <c r="N50" i="2"/>
  <c r="N154" i="2" a="1"/>
  <c r="N154" i="2"/>
  <c r="M68" i="2" a="1"/>
  <c r="M68" i="2"/>
  <c r="K300" i="2" a="1"/>
  <c r="K300" i="2"/>
  <c r="G161" i="2" a="1"/>
  <c r="G161" i="2"/>
  <c r="C214" i="2" a="1"/>
  <c r="C214" i="2"/>
  <c r="E88" i="2" a="1"/>
  <c r="E88" i="2"/>
  <c r="D50" i="2" a="1"/>
  <c r="D50" i="2"/>
  <c r="N107" i="2" a="1"/>
  <c r="N107" i="2"/>
  <c r="F90" i="2" a="1"/>
  <c r="F90" i="2"/>
  <c r="K182" i="2" a="1"/>
  <c r="K182" i="2"/>
  <c r="M214" i="2" a="1"/>
  <c r="M214" i="2"/>
  <c r="F103" i="2" a="1"/>
  <c r="F103" i="2"/>
  <c r="D271" i="2" a="1"/>
  <c r="D271" i="2"/>
  <c r="M103" i="2" a="1"/>
  <c r="M103" i="2"/>
  <c r="H154" i="2" a="1"/>
  <c r="H154" i="2"/>
  <c r="F32" i="2" a="1"/>
  <c r="F32" i="2"/>
  <c r="H255" i="2" a="1"/>
  <c r="H255" i="2"/>
  <c r="D154" i="2" a="1"/>
  <c r="D154" i="2"/>
  <c r="H225" i="2" a="1"/>
  <c r="H225" i="2"/>
  <c r="D90" i="2" a="1"/>
  <c r="D90" i="2"/>
  <c r="I103" i="2" a="1"/>
  <c r="I103" i="2"/>
  <c r="I68" i="2" a="1"/>
  <c r="I68" i="2"/>
  <c r="D107" i="2" a="1"/>
  <c r="D107" i="2"/>
  <c r="J214" i="2" a="1"/>
  <c r="J214" i="2"/>
  <c r="E32" i="2" a="1"/>
  <c r="E32" i="2"/>
  <c r="H54" i="2" a="1"/>
  <c r="H54" i="2"/>
  <c r="H161" i="2" a="1"/>
  <c r="H161" i="2"/>
  <c r="F214" i="2" a="1"/>
  <c r="F214" i="2"/>
  <c r="F107" i="2" a="1"/>
  <c r="F107" i="2"/>
  <c r="M32" i="2" a="1"/>
  <c r="M32" i="2"/>
  <c r="J255" i="2" a="1"/>
  <c r="J255" i="2"/>
  <c r="E27" i="2" a="1"/>
  <c r="E27" i="2"/>
  <c r="F225" i="2" a="1"/>
  <c r="F225" i="2"/>
  <c r="C50" i="2" a="1"/>
  <c r="C50" i="2"/>
  <c r="H27" i="2" a="1"/>
  <c r="H27" i="2"/>
  <c r="J196" i="2" a="1"/>
  <c r="J196" i="2"/>
  <c r="J292" i="2" a="1"/>
  <c r="J292" i="2"/>
  <c r="G185" i="2" a="1"/>
  <c r="G185" i="2"/>
  <c r="J90" i="2" a="1"/>
  <c r="J90" i="2"/>
  <c r="G68" i="2" a="1"/>
  <c r="G68" i="2"/>
  <c r="K32" i="2" a="1"/>
  <c r="K32" i="2"/>
  <c r="H271" i="2" a="1"/>
  <c r="H271" i="2"/>
  <c r="N68" i="2" a="1"/>
  <c r="N68" i="2"/>
  <c r="E154" i="2" a="1"/>
  <c r="E154" i="2"/>
  <c r="C54" i="2" a="1"/>
  <c r="C54" i="2"/>
  <c r="D32" i="2" a="1"/>
  <c r="D32" i="2"/>
  <c r="G255" i="2" a="1"/>
  <c r="G255" i="2"/>
  <c r="K196" i="2" a="1"/>
  <c r="K196" i="2"/>
  <c r="G54" i="2" a="1"/>
  <c r="G54" i="2"/>
  <c r="J68" i="2" a="1"/>
  <c r="J68" i="2"/>
  <c r="H88" i="2" a="1"/>
  <c r="H88" i="2"/>
  <c r="J154" i="2" a="1"/>
  <c r="J154" i="2"/>
  <c r="F68" i="2" a="1"/>
  <c r="F68" i="2"/>
  <c r="D54" i="2" a="1"/>
  <c r="D54" i="2"/>
  <c r="E54" i="2" a="1"/>
  <c r="E54" i="2"/>
  <c r="C90" i="2" a="1"/>
  <c r="C90" i="2"/>
  <c r="G196" i="2" a="1"/>
  <c r="G196" i="2"/>
  <c r="I185" i="2" a="1"/>
  <c r="I185" i="2"/>
  <c r="C300" i="2" a="1"/>
  <c r="C300" i="2"/>
  <c r="M54" i="2" a="1"/>
  <c r="M54" i="2"/>
  <c r="J182" i="2" a="1"/>
  <c r="J182" i="2"/>
  <c r="D255" i="2" a="1"/>
  <c r="D255" i="2"/>
  <c r="L154" i="2" a="1"/>
  <c r="L154" i="2"/>
  <c r="J50" i="2" a="1"/>
  <c r="J50" i="2"/>
  <c r="F54" i="2" a="1"/>
  <c r="F54" i="2"/>
  <c r="N182" i="2" a="1"/>
  <c r="N182" i="2"/>
  <c r="E185" i="2" a="1"/>
  <c r="E185" i="2"/>
  <c r="D214" i="2" a="1"/>
  <c r="D214" i="2"/>
  <c r="L68" i="2" a="1"/>
  <c r="L68" i="2"/>
  <c r="F185" i="2" a="1"/>
  <c r="F185" i="2"/>
  <c r="F154" i="2" a="1"/>
  <c r="F154" i="2"/>
  <c r="L161" i="2" a="1"/>
  <c r="L161" i="2"/>
  <c r="G103" i="2" a="1"/>
  <c r="G103" i="2"/>
  <c r="H300" i="2" a="1"/>
  <c r="H300" i="2"/>
  <c r="N161" i="2" a="1"/>
  <c r="N161" i="2"/>
  <c r="M88" i="2" a="1"/>
  <c r="M88" i="2"/>
  <c r="K50" i="2" a="1"/>
  <c r="K50" i="2"/>
  <c r="E225" i="2" a="1"/>
  <c r="E225" i="2"/>
  <c r="M161" i="2" a="1"/>
  <c r="M161" i="2"/>
  <c r="E292" i="2" a="1"/>
  <c r="E292" i="2"/>
  <c r="H185" i="2" a="1"/>
  <c r="H185" i="2"/>
  <c r="K68" i="2" a="1"/>
  <c r="K68" i="2"/>
  <c r="J185" i="2" a="1"/>
  <c r="J185" i="2"/>
  <c r="F161" i="2" a="1"/>
  <c r="F161" i="2"/>
  <c r="N300" i="2" a="1"/>
  <c r="N300" i="2"/>
  <c r="G90" i="2" a="1"/>
  <c r="G90" i="2"/>
  <c r="H90" i="2" a="1"/>
  <c r="H90" i="2"/>
  <c r="M271" i="2" a="1"/>
  <c r="M271" i="2"/>
  <c r="H107" i="2" a="1"/>
  <c r="H107" i="2"/>
  <c r="C68" i="2" a="1"/>
  <c r="C68" i="2"/>
  <c r="K90" i="2" a="1"/>
  <c r="K90" i="2"/>
  <c r="F182" i="2" a="1"/>
  <c r="F182" i="2"/>
  <c r="N54" i="2" a="1"/>
  <c r="N54" i="2"/>
  <c r="L300" i="2" a="1"/>
  <c r="L300" i="2"/>
  <c r="G292" i="2" a="1"/>
  <c r="G292" i="2"/>
  <c r="D196" i="2" a="1"/>
  <c r="D196" i="2"/>
  <c r="N88" i="2" a="1"/>
  <c r="N88" i="2"/>
  <c r="E50" i="2" a="1"/>
  <c r="E50" i="2"/>
  <c r="M154" i="2" a="1"/>
  <c r="M154" i="2"/>
  <c r="I88" i="2" a="1"/>
  <c r="I88" i="2"/>
  <c r="L103" i="2" a="1"/>
  <c r="L103" i="2"/>
  <c r="L271" i="2" a="1"/>
  <c r="L271" i="2"/>
  <c r="N32" i="2" a="1"/>
  <c r="N32" i="2"/>
  <c r="K88" i="2" a="1"/>
  <c r="K88" i="2"/>
  <c r="M27" i="2" a="1"/>
  <c r="M27" i="2"/>
  <c r="M182" i="2" a="1"/>
  <c r="M182" i="2"/>
  <c r="N255" i="2" a="1"/>
  <c r="N255" i="2"/>
  <c r="G50" i="2" a="1"/>
  <c r="G50" i="2"/>
  <c r="N271" i="2" a="1"/>
  <c r="N271" i="2"/>
  <c r="F27" i="2" a="1"/>
  <c r="F27" i="2"/>
  <c r="N90" i="2" a="1"/>
  <c r="N90" i="2"/>
  <c r="I255" i="2" a="1"/>
  <c r="I255" i="2"/>
  <c r="C271" i="2" a="1"/>
  <c r="C271" i="2"/>
  <c r="I154" i="2" a="1"/>
  <c r="I154" i="2"/>
  <c r="E196" i="2" a="1"/>
  <c r="E196" i="2"/>
  <c r="L90" i="2" a="1"/>
  <c r="L90" i="2"/>
  <c r="K214" i="2" a="1"/>
  <c r="K214" i="2"/>
  <c r="K292" i="2" a="1"/>
  <c r="K292" i="2"/>
  <c r="I54" i="2" a="1"/>
  <c r="I54" i="2"/>
  <c r="N196" i="2" a="1"/>
  <c r="N196" i="2"/>
  <c r="N225" i="2" a="1"/>
  <c r="N225" i="2"/>
  <c r="C255" i="2" a="1"/>
  <c r="C255" i="2"/>
  <c r="H50" i="2" a="1"/>
  <c r="H50" i="2"/>
  <c r="L255" i="2" a="1"/>
  <c r="L255" i="2"/>
  <c r="D182" i="2" a="1"/>
  <c r="D182" i="2"/>
  <c r="M107" i="2" a="1"/>
  <c r="M107" i="2"/>
  <c r="L182" i="2" a="1"/>
  <c r="L182" i="2"/>
  <c r="G271" i="2" a="1"/>
  <c r="G271" i="2"/>
  <c r="C154" i="2" a="1"/>
  <c r="C154" i="2"/>
  <c r="J225" i="2" a="1"/>
  <c r="J225" i="2"/>
  <c r="C182" i="2" a="1"/>
  <c r="C182" i="2"/>
  <c r="D68" i="2" a="1"/>
  <c r="D68" i="2"/>
  <c r="G300" i="2" a="1"/>
  <c r="G300" i="2"/>
  <c r="G88" i="2" a="1"/>
  <c r="G88" i="2"/>
  <c r="I50" i="2" a="1"/>
  <c r="I50" i="2"/>
  <c r="L88" i="2" a="1"/>
  <c r="L88" i="2"/>
  <c r="D300" i="2" a="1"/>
  <c r="D300" i="2"/>
  <c r="E68" i="2" a="1"/>
  <c r="E68" i="2"/>
  <c r="E161" i="2" a="1"/>
  <c r="E161" i="2"/>
  <c r="M255" i="2" a="1"/>
  <c r="M255" i="2"/>
  <c r="F88" i="2" a="1"/>
  <c r="F88" i="2"/>
  <c r="I225" i="2" a="1"/>
  <c r="I225" i="2"/>
  <c r="M196" i="2" a="1"/>
  <c r="M196" i="2"/>
  <c r="M90" i="2" a="1"/>
  <c r="M90" i="2"/>
  <c r="H214" i="2" a="1"/>
  <c r="H214" i="2"/>
  <c r="L50" i="2" a="1"/>
  <c r="L50" i="2"/>
  <c r="D185" i="2" a="1"/>
  <c r="D185" i="2"/>
  <c r="G107" i="2" a="1"/>
  <c r="G107" i="2"/>
  <c r="D27" i="2" a="1"/>
  <c r="D27" i="2"/>
  <c r="G154" i="2" a="1"/>
  <c r="G154" i="2"/>
  <c r="H292" i="2" a="1"/>
  <c r="H292" i="2"/>
  <c r="H103" i="2" a="1"/>
  <c r="H103" i="2"/>
  <c r="C107" i="2" a="1"/>
  <c r="C107" i="2"/>
  <c r="H182" i="2" a="1"/>
  <c r="H182" i="2"/>
  <c r="I32" i="2" a="1"/>
  <c r="I32" i="2"/>
  <c r="L54" i="2" a="1"/>
  <c r="L54" i="2"/>
  <c r="N185" i="2" a="1"/>
  <c r="N185" i="2"/>
  <c r="K271" i="2" a="1"/>
  <c r="K271" i="2"/>
  <c r="G125" i="2" a="1"/>
  <c r="G125" i="2"/>
  <c r="D310" i="2" a="1"/>
  <c r="D310" i="2"/>
  <c r="C63" i="2" a="1"/>
  <c r="C63" i="2"/>
  <c r="I310" i="2" a="1"/>
  <c r="I310" i="2"/>
  <c r="H168" i="2" a="1"/>
  <c r="H168" i="2"/>
  <c r="M108" i="2" a="1"/>
  <c r="M108" i="2"/>
  <c r="F108" i="2" a="1"/>
  <c r="F108" i="2"/>
  <c r="N96" i="2" a="1"/>
  <c r="N96" i="2"/>
  <c r="N168" i="2" a="1"/>
  <c r="N168" i="2"/>
  <c r="L63" i="2" a="1"/>
  <c r="L63" i="2"/>
  <c r="L168" i="2" a="1"/>
  <c r="L168" i="2"/>
  <c r="K125" i="2" a="1"/>
  <c r="K125" i="2"/>
  <c r="E258" i="2" a="1"/>
  <c r="E258" i="2"/>
  <c r="L275" i="2" a="1"/>
  <c r="L275" i="2"/>
  <c r="C124" i="2" a="1"/>
  <c r="C124" i="2"/>
  <c r="G96" i="2" a="1"/>
  <c r="G96" i="2"/>
  <c r="C310" i="2" a="1"/>
  <c r="C310" i="2"/>
  <c r="E275" i="2" a="1"/>
  <c r="E275" i="2"/>
  <c r="M275" i="2" a="1"/>
  <c r="M275" i="2"/>
  <c r="I258" i="2" a="1"/>
  <c r="I258" i="2"/>
  <c r="F178" i="2" a="1"/>
  <c r="F178" i="2"/>
  <c r="G258" i="2" a="1"/>
  <c r="G258" i="2"/>
  <c r="D168" i="2" a="1"/>
  <c r="D168" i="2"/>
  <c r="E125" i="2" a="1"/>
  <c r="E125" i="2"/>
  <c r="M168" i="2" a="1"/>
  <c r="M168" i="2"/>
  <c r="K178" i="2" a="1"/>
  <c r="K178" i="2"/>
  <c r="N108" i="2" a="1"/>
  <c r="N108" i="2"/>
  <c r="E168" i="2" a="1"/>
  <c r="E168" i="2"/>
  <c r="C178" i="2" a="1"/>
  <c r="C178" i="2"/>
  <c r="C108" i="2" a="1"/>
  <c r="C108" i="2"/>
  <c r="L310" i="2" a="1"/>
  <c r="L310" i="2"/>
  <c r="K63" i="2" a="1"/>
  <c r="K63" i="2"/>
  <c r="L178" i="2" a="1"/>
  <c r="L178" i="2"/>
  <c r="M258" i="2" a="1"/>
  <c r="M258" i="2"/>
  <c r="G168" i="2" a="1"/>
  <c r="G168" i="2"/>
  <c r="H125" i="2" a="1"/>
  <c r="H125" i="2"/>
  <c r="K275" i="2" a="1"/>
  <c r="K275" i="2"/>
  <c r="M310" i="2" a="1"/>
  <c r="M310" i="2"/>
  <c r="L96" i="2" a="1"/>
  <c r="L96" i="2"/>
  <c r="K96" i="2" a="1"/>
  <c r="K96" i="2"/>
  <c r="F310" i="2" a="1"/>
  <c r="F310" i="2"/>
  <c r="H124" i="2" a="1"/>
  <c r="H124" i="2"/>
  <c r="C168" i="2" a="1"/>
  <c r="C168" i="2"/>
  <c r="J275" i="2" a="1"/>
  <c r="J275" i="2"/>
  <c r="K258" i="2" a="1"/>
  <c r="K258" i="2"/>
  <c r="G310" i="2" a="1"/>
  <c r="G310" i="2"/>
  <c r="H275" i="2" a="1"/>
  <c r="H275" i="2"/>
  <c r="E108" i="2" a="1"/>
  <c r="E108" i="2"/>
  <c r="G63" i="2" a="1"/>
  <c r="G63" i="2"/>
  <c r="N258" i="2" a="1"/>
  <c r="N258" i="2"/>
  <c r="D63" i="2" a="1"/>
  <c r="D63" i="2"/>
  <c r="I275" i="2" a="1"/>
  <c r="I275" i="2"/>
  <c r="F168" i="2" a="1"/>
  <c r="F168" i="2"/>
  <c r="C258" i="2" a="1"/>
  <c r="C258" i="2"/>
  <c r="J108" i="2" a="1"/>
  <c r="J108" i="2"/>
  <c r="K124" i="2" a="1"/>
  <c r="K124" i="2"/>
  <c r="H96" i="2" a="1"/>
  <c r="H96" i="2"/>
  <c r="F124" i="2" a="1"/>
  <c r="F124" i="2"/>
  <c r="H258" i="2" a="1"/>
  <c r="H258" i="2"/>
  <c r="I125" i="2" a="1"/>
  <c r="I125" i="2"/>
  <c r="E63" i="2" a="1"/>
  <c r="E63" i="2"/>
  <c r="E124" i="2" a="1"/>
  <c r="E124" i="2"/>
  <c r="G275" i="2" a="1"/>
  <c r="G275" i="2"/>
  <c r="C96" i="2" a="1"/>
  <c r="C96" i="2"/>
  <c r="H178" i="2" a="1"/>
  <c r="H178" i="2"/>
  <c r="L258" i="2" a="1"/>
  <c r="L258" i="2"/>
  <c r="J178" i="2" a="1"/>
  <c r="J178" i="2"/>
  <c r="J168" i="2" a="1"/>
  <c r="J168" i="2"/>
  <c r="F275" i="2" a="1"/>
  <c r="F275" i="2"/>
  <c r="H108" i="2" a="1"/>
  <c r="H108" i="2"/>
  <c r="F63" i="2" a="1"/>
  <c r="F63" i="2"/>
  <c r="H310" i="2" a="1"/>
  <c r="H310" i="2"/>
  <c r="N178" i="2" a="1"/>
  <c r="N178" i="2"/>
  <c r="C275" i="2" a="1"/>
  <c r="C275" i="2"/>
  <c r="N124" i="2" a="1"/>
  <c r="N124" i="2"/>
  <c r="L125" i="2" a="1"/>
  <c r="L125" i="2"/>
  <c r="M125" i="2" a="1"/>
  <c r="M125" i="2"/>
  <c r="J258" i="2" a="1"/>
  <c r="J258" i="2"/>
  <c r="K168" i="2" a="1"/>
  <c r="K168" i="2"/>
  <c r="M178" i="2" a="1"/>
  <c r="M178" i="2"/>
  <c r="F125" i="2" a="1"/>
  <c r="F125" i="2"/>
  <c r="F96" i="2" a="1"/>
  <c r="F96" i="2"/>
  <c r="D96" i="2" a="1"/>
  <c r="D96" i="2"/>
  <c r="N310" i="2" a="1"/>
  <c r="N310" i="2"/>
  <c r="D178" i="2" a="1"/>
  <c r="D178" i="2"/>
  <c r="K108" i="2" a="1"/>
  <c r="K108" i="2"/>
  <c r="D125" i="2" a="1"/>
  <c r="D125" i="2"/>
  <c r="J96" i="2" a="1"/>
  <c r="J96" i="2"/>
  <c r="G108" i="2" a="1"/>
  <c r="G108" i="2"/>
  <c r="J124" i="2" a="1"/>
  <c r="J124" i="2"/>
  <c r="J125" i="2" a="1"/>
  <c r="J125" i="2"/>
  <c r="H63" i="2" a="1"/>
  <c r="H63" i="2"/>
  <c r="I63" i="2" a="1"/>
  <c r="I63" i="2"/>
  <c r="M124" i="2" a="1"/>
  <c r="M124" i="2"/>
  <c r="J63" i="2" a="1"/>
  <c r="J63" i="2"/>
  <c r="L108" i="2" a="1"/>
  <c r="L108" i="2"/>
  <c r="E310" i="2" a="1"/>
  <c r="E310" i="2"/>
  <c r="E178" i="2" a="1"/>
  <c r="E178" i="2"/>
  <c r="G178" i="2" a="1"/>
  <c r="G178" i="2"/>
  <c r="N275" i="2" a="1"/>
  <c r="N275" i="2"/>
  <c r="D258" i="2" a="1"/>
  <c r="D258" i="2"/>
  <c r="D124" i="2" a="1"/>
  <c r="D124" i="2"/>
  <c r="J310" i="2" a="1"/>
  <c r="J310" i="2"/>
  <c r="L124" i="2" a="1"/>
  <c r="L124" i="2"/>
  <c r="M96" i="2" a="1"/>
  <c r="M96" i="2"/>
  <c r="E96" i="2" a="1"/>
  <c r="E96" i="2"/>
  <c r="I108" i="2" a="1"/>
  <c r="I108" i="2"/>
  <c r="G124" i="2" a="1"/>
  <c r="G124" i="2"/>
  <c r="N63" i="2" a="1"/>
  <c r="N63" i="2"/>
  <c r="C125" i="2" a="1"/>
  <c r="C125" i="2"/>
  <c r="I124" i="2" a="1"/>
  <c r="I124" i="2"/>
  <c r="F258" i="2" a="1"/>
  <c r="F258" i="2"/>
  <c r="I96" i="2" a="1"/>
  <c r="I96" i="2"/>
  <c r="I178" i="2" a="1"/>
  <c r="I178" i="2"/>
  <c r="K310" i="2" a="1"/>
  <c r="K310" i="2"/>
  <c r="N125" i="2" a="1"/>
  <c r="N125" i="2"/>
  <c r="I168" i="2" a="1"/>
  <c r="I168" i="2"/>
  <c r="D275" i="2" a="1"/>
  <c r="D275" i="2"/>
  <c r="M63" i="2" a="1"/>
  <c r="M63" i="2"/>
  <c r="D108" i="2" a="1"/>
  <c r="D108" i="2"/>
  <c r="H218" i="2" a="1"/>
  <c r="H218" i="2"/>
  <c r="I311" i="2" a="1"/>
  <c r="I311" i="2"/>
  <c r="N302" i="2" a="1"/>
  <c r="N302" i="2"/>
  <c r="N102" i="2" a="1"/>
  <c r="N102" i="2"/>
  <c r="D65" i="2" a="1"/>
  <c r="D65" i="2"/>
  <c r="J311" i="2" a="1"/>
  <c r="J311" i="2"/>
  <c r="C311" i="2" a="1"/>
  <c r="C311" i="2"/>
  <c r="K264" i="2" a="1"/>
  <c r="K264" i="2"/>
  <c r="E302" i="2" a="1"/>
  <c r="E302" i="2"/>
  <c r="C195" i="2" a="1"/>
  <c r="C195" i="2"/>
  <c r="F65" i="2" a="1"/>
  <c r="F65" i="2"/>
  <c r="H136" i="2" a="1"/>
  <c r="H136" i="2"/>
  <c r="N218" i="2" a="1"/>
  <c r="N218" i="2"/>
  <c r="I195" i="2" a="1"/>
  <c r="I195" i="2"/>
  <c r="D136" i="2" a="1"/>
  <c r="D136" i="2"/>
  <c r="G102" i="2" a="1"/>
  <c r="G102" i="2"/>
  <c r="F311" i="2" a="1"/>
  <c r="F311" i="2"/>
  <c r="C218" i="2" a="1"/>
  <c r="C218" i="2"/>
  <c r="M188" i="2" a="1"/>
  <c r="M188" i="2"/>
  <c r="J136" i="2" a="1"/>
  <c r="J136" i="2"/>
  <c r="H264" i="2" a="1"/>
  <c r="H264" i="2"/>
  <c r="I65" i="2" a="1"/>
  <c r="I65" i="2"/>
  <c r="C264" i="2" a="1"/>
  <c r="C264" i="2"/>
  <c r="J264" i="2" a="1"/>
  <c r="J264" i="2"/>
  <c r="L218" i="2" a="1"/>
  <c r="L218" i="2"/>
  <c r="N136" i="2" a="1"/>
  <c r="N136" i="2"/>
  <c r="K293" i="2" a="1"/>
  <c r="K293" i="2"/>
  <c r="M102" i="2" a="1"/>
  <c r="M102" i="2"/>
  <c r="D218" i="2" a="1"/>
  <c r="D218" i="2"/>
  <c r="K136" i="2" a="1"/>
  <c r="K136" i="2"/>
  <c r="L195" i="2" a="1"/>
  <c r="L195" i="2"/>
  <c r="M136" i="2" a="1"/>
  <c r="M136" i="2"/>
  <c r="M65" i="2" a="1"/>
  <c r="M65" i="2"/>
  <c r="E311" i="2" a="1"/>
  <c r="E311" i="2"/>
  <c r="D264" i="2" a="1"/>
  <c r="D264" i="2"/>
  <c r="I136" i="2" a="1"/>
  <c r="I136" i="2"/>
  <c r="F264" i="2" a="1"/>
  <c r="F264" i="2"/>
  <c r="L102" i="2" a="1"/>
  <c r="L102" i="2"/>
  <c r="J302" i="2" a="1"/>
  <c r="J302" i="2"/>
  <c r="J293" i="2" a="1"/>
  <c r="J293" i="2"/>
  <c r="C188" i="2" a="1"/>
  <c r="C188" i="2"/>
  <c r="I302" i="2" a="1"/>
  <c r="I302" i="2"/>
  <c r="K195" i="2" a="1"/>
  <c r="K195" i="2"/>
  <c r="C102" i="2" a="1"/>
  <c r="C102" i="2"/>
  <c r="N264" i="2" a="1"/>
  <c r="N264" i="2"/>
  <c r="E102" i="2" a="1"/>
  <c r="E102" i="2"/>
  <c r="J195" i="2" a="1"/>
  <c r="J195" i="2"/>
  <c r="G302" i="2" a="1"/>
  <c r="G302" i="2"/>
  <c r="D102" i="2" a="1"/>
  <c r="D102" i="2"/>
  <c r="D195" i="2" a="1"/>
  <c r="D195" i="2"/>
  <c r="F188" i="2" a="1"/>
  <c r="F188" i="2"/>
  <c r="I102" i="2" a="1"/>
  <c r="I102" i="2"/>
  <c r="L188" i="2" a="1"/>
  <c r="L188" i="2"/>
  <c r="D311" i="2" a="1"/>
  <c r="D311" i="2"/>
  <c r="I218" i="2" a="1"/>
  <c r="I218" i="2"/>
  <c r="E293" i="2" a="1"/>
  <c r="E293" i="2"/>
  <c r="G195" i="2" a="1"/>
  <c r="G195" i="2"/>
  <c r="K218" i="2" a="1"/>
  <c r="K218" i="2"/>
  <c r="D188" i="2" a="1"/>
  <c r="D188" i="2"/>
  <c r="L65" i="2" a="1"/>
  <c r="L65" i="2"/>
  <c r="F195" i="2" a="1"/>
  <c r="F195" i="2"/>
  <c r="J65" i="2" a="1"/>
  <c r="J65" i="2"/>
  <c r="L293" i="2" a="1"/>
  <c r="L293" i="2"/>
  <c r="M311" i="2" a="1"/>
  <c r="M311" i="2"/>
  <c r="H293" i="2" a="1"/>
  <c r="H293" i="2"/>
  <c r="H311" i="2" a="1"/>
  <c r="H311" i="2"/>
  <c r="F302" i="2" a="1"/>
  <c r="F302" i="2"/>
  <c r="M293" i="2" a="1"/>
  <c r="M293" i="2"/>
  <c r="K311" i="2" a="1"/>
  <c r="K311" i="2"/>
  <c r="J218" i="2" a="1"/>
  <c r="J218" i="2"/>
  <c r="H102" i="2" a="1"/>
  <c r="H102" i="2"/>
  <c r="H302" i="2" a="1"/>
  <c r="H302" i="2"/>
  <c r="M218" i="2" a="1"/>
  <c r="M218" i="2"/>
  <c r="N195" i="2" a="1"/>
  <c r="N195" i="2"/>
  <c r="J188" i="2" a="1"/>
  <c r="J188" i="2"/>
  <c r="N293" i="2" a="1"/>
  <c r="N293" i="2"/>
  <c r="E195" i="2" a="1"/>
  <c r="E195" i="2"/>
  <c r="K302" i="2" a="1"/>
  <c r="K302" i="2"/>
  <c r="L311" i="2" a="1"/>
  <c r="L311" i="2"/>
  <c r="C293" i="2" a="1"/>
  <c r="C293" i="2"/>
  <c r="I264" i="2" a="1"/>
  <c r="I264" i="2"/>
  <c r="K188" i="2" a="1"/>
  <c r="K188" i="2"/>
  <c r="N311" i="2" a="1"/>
  <c r="N311" i="2"/>
  <c r="F102" i="2" a="1"/>
  <c r="F102" i="2"/>
  <c r="D302" i="2" a="1"/>
  <c r="D302" i="2"/>
  <c r="G264" i="2" a="1"/>
  <c r="G264" i="2"/>
  <c r="F218" i="2" a="1"/>
  <c r="F218" i="2"/>
  <c r="L302" i="2" a="1"/>
  <c r="L302" i="2"/>
  <c r="G218" i="2" a="1"/>
  <c r="G218" i="2"/>
  <c r="M195" i="2" a="1"/>
  <c r="M195" i="2"/>
  <c r="F293" i="2" a="1"/>
  <c r="F293" i="2"/>
  <c r="C302" i="2" a="1"/>
  <c r="C302" i="2"/>
  <c r="K102" i="2" a="1"/>
  <c r="K102" i="2"/>
  <c r="L264" i="2" a="1"/>
  <c r="L264" i="2"/>
  <c r="G293" i="2" a="1"/>
  <c r="G293" i="2"/>
  <c r="C65" i="2" a="1"/>
  <c r="C65" i="2"/>
  <c r="E264" i="2" a="1"/>
  <c r="E264" i="2"/>
  <c r="C136" i="2" a="1"/>
  <c r="C136" i="2"/>
  <c r="N65" i="2" a="1"/>
  <c r="N65" i="2"/>
  <c r="G188" i="2" a="1"/>
  <c r="G188" i="2"/>
  <c r="D293" i="2" a="1"/>
  <c r="D293" i="2"/>
  <c r="L136" i="2" a="1"/>
  <c r="L136" i="2"/>
  <c r="E65" i="2" a="1"/>
  <c r="E65" i="2"/>
  <c r="K65" i="2" a="1"/>
  <c r="K65" i="2"/>
  <c r="E188" i="2" a="1"/>
  <c r="E188" i="2"/>
  <c r="F136" i="2" a="1"/>
  <c r="F136" i="2"/>
  <c r="N188" i="2" a="1"/>
  <c r="N188" i="2"/>
  <c r="G65" i="2" a="1"/>
  <c r="G65" i="2"/>
  <c r="G136" i="2" a="1"/>
  <c r="G136" i="2"/>
  <c r="H188" i="2" a="1"/>
  <c r="H188" i="2"/>
  <c r="H65" i="2" a="1"/>
  <c r="H65" i="2"/>
  <c r="M302" i="2" a="1"/>
  <c r="M302" i="2"/>
  <c r="J102" i="2" a="1"/>
  <c r="J102" i="2"/>
  <c r="I293" i="2" a="1"/>
  <c r="I293" i="2"/>
  <c r="H195" i="2" a="1"/>
  <c r="H195" i="2"/>
  <c r="E136" i="2" a="1"/>
  <c r="E136" i="2"/>
  <c r="E218" i="2" a="1"/>
  <c r="E218" i="2"/>
  <c r="M264" i="2" a="1"/>
  <c r="M264" i="2"/>
  <c r="G311" i="2" a="1"/>
  <c r="G311" i="2"/>
  <c r="I188" i="2" a="1"/>
  <c r="I188" i="2"/>
  <c r="K174" i="2" a="1"/>
  <c r="K174" i="2"/>
  <c r="G33" i="2" a="1"/>
  <c r="G33" i="2"/>
  <c r="F184" i="2" a="1"/>
  <c r="F184" i="2"/>
  <c r="M259" i="2" a="1"/>
  <c r="M259" i="2"/>
  <c r="K229" i="2" a="1"/>
  <c r="K229" i="2"/>
  <c r="H259" i="2" a="1"/>
  <c r="H259" i="2"/>
  <c r="C215" i="2" a="1"/>
  <c r="C215" i="2"/>
  <c r="E137" i="2" a="1"/>
  <c r="E137" i="2"/>
  <c r="N305" i="2" a="1"/>
  <c r="N305" i="2"/>
  <c r="E215" i="2" a="1"/>
  <c r="E215" i="2"/>
  <c r="N33" i="2" a="1"/>
  <c r="N33" i="2"/>
  <c r="L9" i="2" a="1"/>
  <c r="L9" i="2"/>
  <c r="C33" i="2" a="1"/>
  <c r="C33" i="2"/>
  <c r="N141" i="2" a="1"/>
  <c r="N141" i="2"/>
  <c r="H237" i="2" a="1"/>
  <c r="H237" i="2"/>
  <c r="F9" i="2" a="1"/>
  <c r="F9" i="2"/>
  <c r="F215" i="2" a="1"/>
  <c r="F215" i="2"/>
  <c r="H71" i="2" a="1"/>
  <c r="H71" i="2"/>
  <c r="G237" i="2" a="1"/>
  <c r="G237" i="2"/>
  <c r="K313" i="2" a="1"/>
  <c r="K313" i="2"/>
  <c r="H150" i="2" a="1"/>
  <c r="H150" i="2"/>
  <c r="H307" i="2" a="1"/>
  <c r="H307" i="2"/>
  <c r="F291" i="2" a="1"/>
  <c r="F291" i="2"/>
  <c r="H175" i="2" a="1"/>
  <c r="H175" i="2"/>
  <c r="D313" i="2" a="1"/>
  <c r="D313" i="2"/>
  <c r="C9" i="2" a="1"/>
  <c r="C9" i="2"/>
  <c r="D291" i="2" a="1"/>
  <c r="D291" i="2"/>
  <c r="K304" i="2" a="1"/>
  <c r="K304" i="2"/>
  <c r="L237" i="2" a="1"/>
  <c r="L237" i="2"/>
  <c r="J9" i="2" a="1"/>
  <c r="J9" i="2"/>
  <c r="G141" i="2" a="1"/>
  <c r="G141" i="2"/>
  <c r="F281" i="2" a="1"/>
  <c r="F281" i="2"/>
  <c r="K170" i="2" a="1"/>
  <c r="K170" i="2"/>
  <c r="E141" i="2" a="1"/>
  <c r="E141" i="2"/>
  <c r="N304" i="2" a="1"/>
  <c r="N304" i="2"/>
  <c r="C184" i="2" a="1"/>
  <c r="C184" i="2"/>
  <c r="I174" i="2" a="1"/>
  <c r="I174" i="2"/>
  <c r="C291" i="2" a="1"/>
  <c r="C291" i="2"/>
  <c r="N186" i="2" a="1"/>
  <c r="N186" i="2"/>
  <c r="J291" i="2" a="1"/>
  <c r="J291" i="2"/>
  <c r="K137" i="2" a="1"/>
  <c r="K137" i="2"/>
  <c r="M199" i="2" a="1"/>
  <c r="M199" i="2"/>
  <c r="D307" i="2" a="1"/>
  <c r="D307" i="2"/>
  <c r="F232" i="2" a="1"/>
  <c r="F232" i="2"/>
  <c r="E33" i="2" a="1"/>
  <c r="E33" i="2"/>
  <c r="D186" i="2" a="1"/>
  <c r="D186" i="2"/>
  <c r="K186" i="2" a="1"/>
  <c r="K186" i="2"/>
  <c r="D215" i="2" a="1"/>
  <c r="D215" i="2"/>
  <c r="F229" i="2" a="1"/>
  <c r="F229" i="2"/>
  <c r="K141" i="2" a="1"/>
  <c r="K141" i="2"/>
  <c r="G291" i="2" a="1"/>
  <c r="G291" i="2"/>
  <c r="M150" i="2" a="1"/>
  <c r="M150" i="2"/>
  <c r="L281" i="2" a="1"/>
  <c r="L281" i="2"/>
  <c r="I71" i="2" a="1"/>
  <c r="I71" i="2"/>
  <c r="J307" i="2" a="1"/>
  <c r="J307" i="2"/>
  <c r="G232" i="2" a="1"/>
  <c r="G232" i="2"/>
  <c r="K305" i="2" a="1"/>
  <c r="K305" i="2"/>
  <c r="L137" i="2" a="1"/>
  <c r="L137" i="2"/>
  <c r="L232" i="2" a="1"/>
  <c r="L232" i="2"/>
  <c r="D9" i="2" a="1"/>
  <c r="D9" i="2"/>
  <c r="L313" i="2" a="1"/>
  <c r="L313" i="2"/>
  <c r="J141" i="2" a="1"/>
  <c r="J141" i="2"/>
  <c r="J175" i="2" a="1"/>
  <c r="J175" i="2"/>
  <c r="C259" i="2" a="1"/>
  <c r="C259" i="2"/>
  <c r="N199" i="2" a="1"/>
  <c r="N199" i="2"/>
  <c r="H304" i="2" a="1"/>
  <c r="H304" i="2"/>
  <c r="D71" i="2" a="1"/>
  <c r="D71" i="2"/>
  <c r="N37" i="2" a="1"/>
  <c r="N37" i="2"/>
  <c r="I97" i="2" a="1"/>
  <c r="I97" i="2"/>
  <c r="N259" i="2" a="1"/>
  <c r="N259" i="2"/>
  <c r="F175" i="2" a="1"/>
  <c r="F175" i="2"/>
  <c r="N170" i="2" a="1"/>
  <c r="N170" i="2"/>
  <c r="E174" i="2" a="1"/>
  <c r="E174" i="2"/>
  <c r="D175" i="2" a="1"/>
  <c r="D175" i="2"/>
  <c r="M137" i="2" a="1"/>
  <c r="M137" i="2"/>
  <c r="F97" i="2" a="1"/>
  <c r="F97" i="2"/>
  <c r="J199" i="2" a="1"/>
  <c r="J199" i="2"/>
  <c r="K259" i="2" a="1"/>
  <c r="K259" i="2"/>
  <c r="E37" i="2" a="1"/>
  <c r="E37" i="2"/>
  <c r="I137" i="2" a="1"/>
  <c r="I137" i="2"/>
  <c r="E232" i="2" a="1"/>
  <c r="E232" i="2"/>
  <c r="L37" i="2" a="1"/>
  <c r="L37" i="2"/>
  <c r="M9" i="2" a="1"/>
  <c r="M9" i="2"/>
  <c r="I229" i="2" a="1"/>
  <c r="I229" i="2"/>
  <c r="H281" i="2" a="1"/>
  <c r="H281" i="2"/>
  <c r="I150" i="2" a="1"/>
  <c r="I150" i="2"/>
  <c r="N174" i="2" a="1"/>
  <c r="N174" i="2"/>
  <c r="E175" i="2" a="1"/>
  <c r="E175" i="2"/>
  <c r="C37" i="2" a="1"/>
  <c r="C37" i="2"/>
  <c r="I215" i="2" a="1"/>
  <c r="I215" i="2"/>
  <c r="N281" i="2" a="1"/>
  <c r="N281" i="2"/>
  <c r="E304" i="2" a="1"/>
  <c r="E304" i="2"/>
  <c r="H141" i="2" a="1"/>
  <c r="H141" i="2"/>
  <c r="H97" i="2" a="1"/>
  <c r="H97" i="2"/>
  <c r="M174" i="2" a="1"/>
  <c r="M174" i="2"/>
  <c r="E170" i="2" a="1"/>
  <c r="E170" i="2"/>
  <c r="J259" i="2" a="1"/>
  <c r="J259" i="2"/>
  <c r="D33" i="2" a="1"/>
  <c r="D33" i="2"/>
  <c r="C304" i="2" a="1"/>
  <c r="C304" i="2"/>
  <c r="M33" i="2" a="1"/>
  <c r="M33" i="2"/>
  <c r="I259" i="2" a="1"/>
  <c r="I259" i="2"/>
  <c r="K150" i="2" a="1"/>
  <c r="K150" i="2"/>
  <c r="M229" i="2" a="1"/>
  <c r="M229" i="2"/>
  <c r="E71" i="2" a="1"/>
  <c r="E71" i="2"/>
  <c r="I33" i="2" a="1"/>
  <c r="I33" i="2"/>
  <c r="L97" i="2" a="1"/>
  <c r="L97" i="2"/>
  <c r="N97" i="2" a="1"/>
  <c r="N97" i="2"/>
  <c r="G259" i="2" a="1"/>
  <c r="G259" i="2"/>
  <c r="G137" i="2" a="1"/>
  <c r="G137" i="2"/>
  <c r="N215" i="2" a="1"/>
  <c r="N215" i="2"/>
  <c r="K175" i="2" a="1"/>
  <c r="K175" i="2"/>
  <c r="G313" i="2" a="1"/>
  <c r="G313" i="2"/>
  <c r="F174" i="2" a="1"/>
  <c r="F174" i="2"/>
  <c r="G215" i="2" a="1"/>
  <c r="G215" i="2"/>
  <c r="M215" i="2" a="1"/>
  <c r="M215" i="2"/>
  <c r="I9" i="2" a="1"/>
  <c r="I9" i="2"/>
  <c r="J232" i="2" a="1"/>
  <c r="J232" i="2"/>
  <c r="G229" i="2" a="1"/>
  <c r="G229" i="2"/>
  <c r="N237" i="2" a="1"/>
  <c r="N237" i="2"/>
  <c r="M186" i="2" a="1"/>
  <c r="M186" i="2"/>
  <c r="I184" i="2" a="1"/>
  <c r="I184" i="2"/>
  <c r="J184" i="2" a="1"/>
  <c r="J184" i="2"/>
  <c r="I199" i="2" a="1"/>
  <c r="I199" i="2"/>
  <c r="I304" i="2" a="1"/>
  <c r="I304" i="2"/>
  <c r="M209" i="2" a="1"/>
  <c r="M209" i="2"/>
  <c r="H232" i="2" a="1"/>
  <c r="H232" i="2"/>
  <c r="D305" i="2" a="1"/>
  <c r="D305" i="2"/>
  <c r="C307" i="2" a="1"/>
  <c r="C307" i="2"/>
  <c r="L141" i="2" a="1"/>
  <c r="L141" i="2"/>
  <c r="I37" i="2" a="1"/>
  <c r="I37" i="2"/>
  <c r="K184" i="2" a="1"/>
  <c r="K184" i="2"/>
  <c r="C137" i="2" a="1"/>
  <c r="C137" i="2"/>
  <c r="E259" i="2" a="1"/>
  <c r="E259" i="2"/>
  <c r="H9" i="2" a="1"/>
  <c r="H9" i="2"/>
  <c r="M307" i="2" a="1"/>
  <c r="M307" i="2"/>
  <c r="E291" i="2" a="1"/>
  <c r="E291" i="2"/>
  <c r="E305" i="2" a="1"/>
  <c r="E305" i="2"/>
  <c r="N150" i="2" a="1"/>
  <c r="N150" i="2"/>
  <c r="F37" i="2" a="1"/>
  <c r="F37" i="2"/>
  <c r="I237" i="2" a="1"/>
  <c r="I237" i="2"/>
  <c r="H305" i="2" a="1"/>
  <c r="H305" i="2"/>
  <c r="D281" i="2" a="1"/>
  <c r="D281" i="2"/>
  <c r="K281" i="2" a="1"/>
  <c r="K281" i="2"/>
  <c r="L199" i="2" a="1"/>
  <c r="L199" i="2"/>
  <c r="L33" i="2" a="1"/>
  <c r="L33" i="2"/>
  <c r="N175" i="2" a="1"/>
  <c r="N175" i="2"/>
  <c r="N229" i="2" a="1"/>
  <c r="N229" i="2"/>
  <c r="D137" i="2" a="1"/>
  <c r="D137" i="2"/>
  <c r="L209" i="2" a="1"/>
  <c r="L209" i="2"/>
  <c r="D209" i="2" a="1"/>
  <c r="D209" i="2"/>
  <c r="L215" i="2" a="1"/>
  <c r="L215" i="2"/>
  <c r="M175" i="2" a="1"/>
  <c r="M175" i="2"/>
  <c r="F209" i="2" a="1"/>
  <c r="F209" i="2"/>
  <c r="C170" i="2" a="1"/>
  <c r="C170" i="2"/>
  <c r="J281" i="2" a="1"/>
  <c r="J281" i="2"/>
  <c r="E209" i="2" a="1"/>
  <c r="E209" i="2"/>
  <c r="L174" i="2" a="1"/>
  <c r="L174" i="2"/>
  <c r="L150" i="2" a="1"/>
  <c r="L150" i="2"/>
  <c r="H170" i="2" a="1"/>
  <c r="H170" i="2"/>
  <c r="J33" i="2" a="1"/>
  <c r="J33" i="2"/>
  <c r="D237" i="2" a="1"/>
  <c r="D237" i="2"/>
  <c r="J71" i="2" a="1"/>
  <c r="J71" i="2"/>
  <c r="E237" i="2" a="1"/>
  <c r="E237" i="2"/>
  <c r="E313" i="2" a="1"/>
  <c r="E313" i="2"/>
  <c r="H186" i="2" a="1"/>
  <c r="H186" i="2"/>
  <c r="J170" i="2" a="1"/>
  <c r="J170" i="2"/>
  <c r="C175" i="2" a="1"/>
  <c r="C175" i="2"/>
  <c r="D174" i="2" a="1"/>
  <c r="D174" i="2"/>
  <c r="J186" i="2" a="1"/>
  <c r="J186" i="2"/>
  <c r="F259" i="2" a="1"/>
  <c r="F259" i="2"/>
  <c r="G305" i="2" a="1"/>
  <c r="G305" i="2"/>
  <c r="I141" i="2" a="1"/>
  <c r="I141" i="2"/>
  <c r="E186" i="2" a="1"/>
  <c r="E186" i="2"/>
  <c r="J137" i="2" a="1"/>
  <c r="J137" i="2"/>
  <c r="G9" i="2" a="1"/>
  <c r="G9" i="2"/>
  <c r="G209" i="2" a="1"/>
  <c r="G209" i="2"/>
  <c r="E281" i="2" a="1"/>
  <c r="E281" i="2"/>
  <c r="D150" i="2" a="1"/>
  <c r="D150" i="2"/>
  <c r="F305" i="2" a="1"/>
  <c r="F305" i="2"/>
  <c r="N209" i="2" a="1"/>
  <c r="N209" i="2"/>
  <c r="G186" i="2" a="1"/>
  <c r="G186" i="2"/>
  <c r="K97" i="2" a="1"/>
  <c r="K97" i="2"/>
  <c r="M141" i="2" a="1"/>
  <c r="M141" i="2"/>
  <c r="C209" i="2" a="1"/>
  <c r="C209" i="2"/>
  <c r="E150" i="2" a="1"/>
  <c r="E150" i="2"/>
  <c r="I175" i="2" a="1"/>
  <c r="I175" i="2"/>
  <c r="C97" i="2" a="1"/>
  <c r="C97" i="2"/>
  <c r="H33" i="2" a="1"/>
  <c r="H33" i="2"/>
  <c r="G150" i="2" a="1"/>
  <c r="G150" i="2"/>
  <c r="C150" i="2" a="1"/>
  <c r="C150" i="2"/>
  <c r="C237" i="2" a="1"/>
  <c r="C237" i="2"/>
  <c r="G170" i="2" a="1"/>
  <c r="G170" i="2"/>
  <c r="C174" i="2" a="1"/>
  <c r="C174" i="2"/>
  <c r="J209" i="2" a="1"/>
  <c r="J209" i="2"/>
  <c r="I186" i="2" a="1"/>
  <c r="I186" i="2"/>
  <c r="L71" i="2" a="1"/>
  <c r="L71" i="2"/>
  <c r="F186" i="2" a="1"/>
  <c r="F186" i="2"/>
  <c r="H199" i="2" a="1"/>
  <c r="H199" i="2"/>
  <c r="H174" i="2" a="1"/>
  <c r="H174" i="2"/>
  <c r="I307" i="2" a="1"/>
  <c r="I307" i="2"/>
  <c r="G184" i="2" a="1"/>
  <c r="G184" i="2"/>
  <c r="H184" i="2" a="1"/>
  <c r="H184" i="2"/>
  <c r="K307" i="2" a="1"/>
  <c r="K307" i="2"/>
  <c r="E184" i="2" a="1"/>
  <c r="E184" i="2"/>
  <c r="C229" i="2" a="1"/>
  <c r="C229" i="2"/>
  <c r="G304" i="2" a="1"/>
  <c r="G304" i="2"/>
  <c r="D170" i="2" a="1"/>
  <c r="D170" i="2"/>
  <c r="I232" i="2" a="1"/>
  <c r="I232" i="2"/>
  <c r="F307" i="2" a="1"/>
  <c r="F307" i="2"/>
  <c r="D37" i="2" a="1"/>
  <c r="D37" i="2"/>
  <c r="L175" i="2" a="1"/>
  <c r="L175" i="2"/>
  <c r="E199" i="2" a="1"/>
  <c r="E199" i="2"/>
  <c r="K37" i="2" a="1"/>
  <c r="K37" i="2"/>
  <c r="I313" i="2" a="1"/>
  <c r="I313" i="2"/>
  <c r="D259" i="2" a="1"/>
  <c r="D259" i="2"/>
  <c r="C313" i="2" a="1"/>
  <c r="C313" i="2"/>
  <c r="G175" i="2" a="1"/>
  <c r="G175" i="2"/>
  <c r="E9" i="2" a="1"/>
  <c r="E9" i="2"/>
  <c r="L184" i="2" a="1"/>
  <c r="L184" i="2"/>
  <c r="N9" i="2" a="1"/>
  <c r="N9" i="2"/>
  <c r="K237" i="2" a="1"/>
  <c r="K237" i="2"/>
  <c r="G174" i="2" a="1"/>
  <c r="G174" i="2"/>
  <c r="K215" i="2" a="1"/>
  <c r="K215" i="2"/>
  <c r="G97" i="2" a="1"/>
  <c r="G97" i="2"/>
  <c r="J150" i="2" a="1"/>
  <c r="J150" i="2"/>
  <c r="J304" i="2" a="1"/>
  <c r="J304" i="2"/>
  <c r="L259" i="2" a="1"/>
  <c r="L259" i="2"/>
  <c r="L186" i="2" a="1"/>
  <c r="L186" i="2"/>
  <c r="L170" i="2" a="1"/>
  <c r="L170" i="2"/>
  <c r="F150" i="2" a="1"/>
  <c r="F150" i="2"/>
  <c r="E97" i="2" a="1"/>
  <c r="E97" i="2"/>
  <c r="K71" i="2" a="1"/>
  <c r="K71" i="2"/>
  <c r="I281" i="2" a="1"/>
  <c r="I281" i="2"/>
  <c r="J174" i="2" a="1"/>
  <c r="J174" i="2"/>
  <c r="J37" i="2" a="1"/>
  <c r="J37" i="2"/>
  <c r="F237" i="2" a="1"/>
  <c r="F237" i="2"/>
  <c r="G281" i="2" a="1"/>
  <c r="G281" i="2"/>
  <c r="C232" i="2" a="1"/>
  <c r="C232" i="2"/>
  <c r="F141" i="2" a="1"/>
  <c r="F141" i="2"/>
  <c r="K9" i="2" a="1"/>
  <c r="K9" i="2"/>
  <c r="C186" i="2" a="1"/>
  <c r="C186" i="2"/>
  <c r="F170" i="2" a="1"/>
  <c r="F170" i="2"/>
  <c r="K33" i="2" a="1"/>
  <c r="K33" i="2"/>
  <c r="E229" i="2" a="1"/>
  <c r="E229" i="2"/>
  <c r="N291" i="2" a="1"/>
  <c r="N291" i="2"/>
  <c r="D141" i="2" a="1"/>
  <c r="D141" i="2"/>
  <c r="H215" i="2" a="1"/>
  <c r="H215" i="2"/>
  <c r="I291" i="2" a="1"/>
  <c r="I291" i="2"/>
  <c r="J237" i="2" a="1"/>
  <c r="J237" i="2"/>
  <c r="M184" i="2" a="1"/>
  <c r="M184" i="2"/>
  <c r="M232" i="2" a="1"/>
  <c r="M232" i="2"/>
  <c r="L304" i="2" a="1"/>
  <c r="L304" i="2"/>
  <c r="I170" i="2" a="1"/>
  <c r="I170" i="2"/>
  <c r="M305" i="2" a="1"/>
  <c r="M305" i="2"/>
  <c r="H209" i="2" a="1"/>
  <c r="H209" i="2"/>
  <c r="H37" i="2" a="1"/>
  <c r="H37" i="2"/>
  <c r="C199" i="2" a="1"/>
  <c r="C199" i="2"/>
  <c r="G71" i="2" a="1"/>
  <c r="G71" i="2"/>
  <c r="M304" i="2" a="1"/>
  <c r="M304" i="2"/>
  <c r="F71" i="2" a="1"/>
  <c r="F71" i="2"/>
  <c r="K209" i="2" a="1"/>
  <c r="K209" i="2"/>
  <c r="G199" i="2" a="1"/>
  <c r="G199" i="2"/>
  <c r="J229" i="2" a="1"/>
  <c r="J229" i="2"/>
  <c r="M281" i="2" a="1"/>
  <c r="M281" i="2"/>
  <c r="M291" i="2" a="1"/>
  <c r="M291" i="2"/>
  <c r="M97" i="2" a="1"/>
  <c r="M97" i="2"/>
  <c r="C71" i="2" a="1"/>
  <c r="C71" i="2"/>
  <c r="N71" i="2" a="1"/>
  <c r="N71" i="2"/>
  <c r="D304" i="2" a="1"/>
  <c r="D304" i="2"/>
  <c r="N232" i="2" a="1"/>
  <c r="N232" i="2"/>
  <c r="F304" i="2" a="1"/>
  <c r="F304" i="2"/>
  <c r="M71" i="2" a="1"/>
  <c r="M71" i="2"/>
  <c r="K199" i="2" a="1"/>
  <c r="K199" i="2"/>
  <c r="C141" i="2" a="1"/>
  <c r="C141" i="2"/>
  <c r="M313" i="2" a="1"/>
  <c r="M313" i="2"/>
  <c r="F33" i="2" a="1"/>
  <c r="F33" i="2"/>
  <c r="D232" i="2" a="1"/>
  <c r="D232" i="2"/>
  <c r="D97" i="2" a="1"/>
  <c r="D97" i="2"/>
  <c r="M170" i="2" a="1"/>
  <c r="M170" i="2"/>
  <c r="K232" i="2" a="1"/>
  <c r="K232" i="2"/>
  <c r="C281" i="2" a="1"/>
  <c r="C281" i="2"/>
  <c r="M237" i="2" a="1"/>
  <c r="M237" i="2"/>
  <c r="L305" i="2" a="1"/>
  <c r="L305" i="2"/>
  <c r="H313" i="2" a="1"/>
  <c r="H313" i="2"/>
  <c r="J215" i="2" a="1"/>
  <c r="J215" i="2"/>
  <c r="J97" i="2" a="1"/>
  <c r="J97" i="2"/>
  <c r="J313" i="2" a="1"/>
  <c r="J313" i="2"/>
  <c r="G307" i="2" a="1"/>
  <c r="G307" i="2"/>
  <c r="F137" i="2" a="1"/>
  <c r="F137" i="2"/>
  <c r="D229" i="2" a="1"/>
  <c r="D229" i="2"/>
  <c r="L229" i="2" a="1"/>
  <c r="L229" i="2"/>
  <c r="C305" i="2" a="1"/>
  <c r="C305" i="2"/>
  <c r="E307" i="2" a="1"/>
  <c r="E307" i="2"/>
  <c r="H137" i="2" a="1"/>
  <c r="H137" i="2"/>
  <c r="H291" i="2" a="1"/>
  <c r="H291" i="2"/>
  <c r="M37" i="2" a="1"/>
  <c r="M37" i="2"/>
  <c r="F313" i="2" a="1"/>
  <c r="F313" i="2"/>
  <c r="N307" i="2" a="1"/>
  <c r="N307" i="2"/>
  <c r="N184" i="2" a="1"/>
  <c r="N184" i="2"/>
  <c r="K291" i="2" a="1"/>
  <c r="K291" i="2"/>
  <c r="D199" i="2" a="1"/>
  <c r="D199" i="2"/>
  <c r="I305" i="2" a="1"/>
  <c r="I305" i="2"/>
  <c r="F199" i="2" a="1"/>
  <c r="F199" i="2"/>
  <c r="N313" i="2" a="1"/>
  <c r="N313" i="2"/>
  <c r="L307" i="2" a="1"/>
  <c r="L307" i="2"/>
  <c r="H229" i="2" a="1"/>
  <c r="H229" i="2"/>
  <c r="J305" i="2" a="1"/>
  <c r="J305" i="2"/>
  <c r="I209" i="2" a="1"/>
  <c r="I209" i="2"/>
  <c r="D184" i="2" a="1"/>
  <c r="D184" i="2"/>
  <c r="L291" i="2" a="1"/>
  <c r="L291" i="2"/>
  <c r="N137" i="2" a="1"/>
  <c r="N137" i="2"/>
  <c r="G37" i="2" a="1"/>
  <c r="G37" i="2"/>
  <c r="E30" i="2" a="1"/>
  <c r="E30" i="2"/>
  <c r="F247" i="2" a="1"/>
  <c r="F247" i="2"/>
  <c r="C30" i="2" a="1"/>
  <c r="C30" i="2"/>
  <c r="I45" i="2" a="1"/>
  <c r="I45" i="2"/>
  <c r="E113" i="2" a="1"/>
  <c r="E113" i="2"/>
  <c r="E94" i="2" a="1"/>
  <c r="E94" i="2"/>
  <c r="G295" i="2" a="1"/>
  <c r="G295" i="2"/>
  <c r="K30" i="2" a="1"/>
  <c r="K30" i="2"/>
  <c r="J45" i="2" a="1"/>
  <c r="J45" i="2"/>
  <c r="C295" i="2" a="1"/>
  <c r="C295" i="2"/>
  <c r="L220" i="2" a="1"/>
  <c r="L220" i="2"/>
  <c r="C87" i="2" a="1"/>
  <c r="C87" i="2"/>
  <c r="I295" i="2" a="1"/>
  <c r="I295" i="2"/>
  <c r="I60" i="2" a="1"/>
  <c r="I60" i="2"/>
  <c r="H45" i="2" a="1"/>
  <c r="H45" i="2"/>
  <c r="L60" i="2" a="1"/>
  <c r="L60" i="2"/>
  <c r="K295" i="2" a="1"/>
  <c r="K295" i="2"/>
  <c r="J94" i="2" a="1"/>
  <c r="J94" i="2"/>
  <c r="E220" i="2" a="1"/>
  <c r="E220" i="2"/>
  <c r="L266" i="2" a="1"/>
  <c r="L266" i="2"/>
  <c r="L45" i="2" a="1"/>
  <c r="L45" i="2"/>
  <c r="G113" i="2" a="1"/>
  <c r="G113" i="2"/>
  <c r="F113" i="2" a="1"/>
  <c r="F113" i="2"/>
  <c r="H220" i="2" a="1"/>
  <c r="H220" i="2"/>
  <c r="K113" i="2" a="1"/>
  <c r="K113" i="2"/>
  <c r="D266" i="2" a="1"/>
  <c r="D266" i="2"/>
  <c r="J295" i="2" a="1"/>
  <c r="J295" i="2"/>
  <c r="D94" i="2" a="1"/>
  <c r="D94" i="2"/>
  <c r="I87" i="2" a="1"/>
  <c r="I87" i="2"/>
  <c r="F220" i="2" a="1"/>
  <c r="F220" i="2"/>
  <c r="D247" i="2" a="1"/>
  <c r="D247" i="2"/>
  <c r="F30" i="2" a="1"/>
  <c r="F30" i="2"/>
  <c r="G45" i="2" a="1"/>
  <c r="G45" i="2"/>
  <c r="J87" i="2" a="1"/>
  <c r="J87" i="2"/>
  <c r="N94" i="2" a="1"/>
  <c r="N94" i="2"/>
  <c r="C247" i="2" a="1"/>
  <c r="C247" i="2"/>
  <c r="K220" i="2" a="1"/>
  <c r="K220" i="2"/>
  <c r="K94" i="2" a="1"/>
  <c r="K94" i="2"/>
  <c r="K45" i="2" a="1"/>
  <c r="K45" i="2"/>
  <c r="F295" i="2" a="1"/>
  <c r="F295" i="2"/>
  <c r="I266" i="2" a="1"/>
  <c r="I266" i="2"/>
  <c r="H266" i="2" a="1"/>
  <c r="H266" i="2"/>
  <c r="I247" i="2" a="1"/>
  <c r="I247" i="2"/>
  <c r="E87" i="2" a="1"/>
  <c r="E87" i="2"/>
  <c r="G30" i="2" a="1"/>
  <c r="G30" i="2"/>
  <c r="M87" i="2" a="1"/>
  <c r="M87" i="2"/>
  <c r="K87" i="2" a="1"/>
  <c r="K87" i="2"/>
  <c r="N247" i="2" a="1"/>
  <c r="N247" i="2"/>
  <c r="J266" i="2" a="1"/>
  <c r="J266" i="2"/>
  <c r="L113" i="2" a="1"/>
  <c r="L113" i="2"/>
  <c r="L247" i="2" a="1"/>
  <c r="L247" i="2"/>
  <c r="L94" i="2" a="1"/>
  <c r="L94" i="2"/>
  <c r="H30" i="2" a="1"/>
  <c r="H30" i="2"/>
  <c r="D45" i="2" a="1"/>
  <c r="D45" i="2"/>
  <c r="E247" i="2" a="1"/>
  <c r="E247" i="2"/>
  <c r="C94" i="2" a="1"/>
  <c r="C94" i="2"/>
  <c r="G247" i="2" a="1"/>
  <c r="G247" i="2"/>
  <c r="K266" i="2" a="1"/>
  <c r="K266" i="2"/>
  <c r="H87" i="2" a="1"/>
  <c r="H87" i="2"/>
  <c r="H247" i="2" a="1"/>
  <c r="H247" i="2"/>
  <c r="I94" i="2" a="1"/>
  <c r="I94" i="2"/>
  <c r="M60" i="2" a="1"/>
  <c r="M60" i="2"/>
  <c r="N45" i="2" a="1"/>
  <c r="N45" i="2"/>
  <c r="D60" i="2" a="1"/>
  <c r="D60" i="2"/>
  <c r="I220" i="2" a="1"/>
  <c r="I220" i="2"/>
  <c r="G266" i="2" a="1"/>
  <c r="G266" i="2"/>
  <c r="F94" i="2" a="1"/>
  <c r="F94" i="2"/>
  <c r="E266" i="2" a="1"/>
  <c r="E266" i="2"/>
  <c r="K247" i="2" a="1"/>
  <c r="K247" i="2"/>
  <c r="D30" i="2" a="1"/>
  <c r="D30" i="2"/>
  <c r="J113" i="2" a="1"/>
  <c r="J113" i="2"/>
  <c r="H94" i="2" a="1"/>
  <c r="H94" i="2"/>
  <c r="F87" i="2" a="1"/>
  <c r="F87" i="2"/>
  <c r="F60" i="2" a="1"/>
  <c r="F60" i="2"/>
  <c r="C60" i="2" a="1"/>
  <c r="C60" i="2"/>
  <c r="H113" i="2" a="1"/>
  <c r="H113" i="2"/>
  <c r="J60" i="2" a="1"/>
  <c r="J60" i="2"/>
  <c r="N295" i="2" a="1"/>
  <c r="N295" i="2"/>
  <c r="E60" i="2" a="1"/>
  <c r="E60" i="2"/>
  <c r="N60" i="2" a="1"/>
  <c r="N60" i="2"/>
  <c r="N113" i="2" a="1"/>
  <c r="N113" i="2"/>
  <c r="N87" i="2" a="1"/>
  <c r="N87" i="2"/>
  <c r="N30" i="2" a="1"/>
  <c r="N30" i="2"/>
  <c r="M30" i="2" a="1"/>
  <c r="M30" i="2"/>
  <c r="G94" i="2" a="1"/>
  <c r="G94" i="2"/>
  <c r="C220" i="2" a="1"/>
  <c r="C220" i="2"/>
  <c r="H295" i="2" a="1"/>
  <c r="H295" i="2"/>
  <c r="L30" i="2" a="1"/>
  <c r="L30" i="2"/>
  <c r="D113" i="2" a="1"/>
  <c r="D113" i="2"/>
  <c r="H60" i="2" a="1"/>
  <c r="H60" i="2"/>
  <c r="G220" i="2" a="1"/>
  <c r="G220" i="2"/>
  <c r="M247" i="2" a="1"/>
  <c r="M247" i="2"/>
  <c r="G60" i="2" a="1"/>
  <c r="G60" i="2"/>
  <c r="C113" i="2" a="1"/>
  <c r="C113" i="2"/>
  <c r="E295" i="2" a="1"/>
  <c r="E295" i="2"/>
  <c r="G87" i="2" a="1"/>
  <c r="G87" i="2"/>
  <c r="M45" i="2" a="1"/>
  <c r="M45" i="2"/>
  <c r="D220" i="2" a="1"/>
  <c r="D220" i="2"/>
  <c r="J30" i="2" a="1"/>
  <c r="J30" i="2"/>
  <c r="M220" i="2" a="1"/>
  <c r="M220" i="2"/>
  <c r="M295" i="2" a="1"/>
  <c r="M295" i="2"/>
  <c r="L295" i="2" a="1"/>
  <c r="L295" i="2"/>
  <c r="F45" i="2" a="1"/>
  <c r="F45" i="2"/>
  <c r="E45" i="2" a="1"/>
  <c r="E45" i="2"/>
  <c r="N266" i="2" a="1"/>
  <c r="N266" i="2"/>
  <c r="N220" i="2" a="1"/>
  <c r="N220" i="2"/>
  <c r="F266" i="2" a="1"/>
  <c r="F266" i="2"/>
  <c r="I113" i="2" a="1"/>
  <c r="I113" i="2"/>
  <c r="L87" i="2" a="1"/>
  <c r="L87" i="2"/>
  <c r="I30" i="2" a="1"/>
  <c r="I30" i="2"/>
  <c r="C266" i="2" a="1"/>
  <c r="C266" i="2"/>
  <c r="C45" i="2" a="1"/>
  <c r="C45" i="2"/>
  <c r="M113" i="2" a="1"/>
  <c r="M113" i="2"/>
  <c r="D87" i="2" a="1"/>
  <c r="D87" i="2"/>
  <c r="J220" i="2" a="1"/>
  <c r="J220" i="2"/>
  <c r="D295" i="2" a="1"/>
  <c r="D295" i="2"/>
  <c r="K60" i="2" a="1"/>
  <c r="K60" i="2"/>
  <c r="M266" i="2" a="1"/>
  <c r="M266" i="2"/>
  <c r="J247" i="2" a="1"/>
  <c r="J247" i="2"/>
  <c r="M94" i="2" a="1"/>
  <c r="M94" i="2"/>
  <c r="D112" i="2" a="1"/>
  <c r="D112" i="2"/>
  <c r="G249" i="2" a="1"/>
  <c r="G249" i="2"/>
  <c r="I248" i="2" a="1"/>
  <c r="I248" i="2"/>
  <c r="K248" i="2" a="1"/>
  <c r="K248" i="2"/>
  <c r="H144" i="2" a="1"/>
  <c r="H144" i="2"/>
  <c r="F248" i="2" a="1"/>
  <c r="F248" i="2"/>
  <c r="J249" i="2" a="1"/>
  <c r="J249" i="2"/>
  <c r="J112" i="2" a="1"/>
  <c r="J112" i="2"/>
  <c r="G117" i="2" a="1"/>
  <c r="G117" i="2"/>
  <c r="N309" i="2" a="1"/>
  <c r="N309" i="2"/>
  <c r="M117" i="2" a="1"/>
  <c r="M117" i="2"/>
  <c r="E249" i="2" a="1"/>
  <c r="E249" i="2"/>
  <c r="G114" i="2" a="1"/>
  <c r="G114" i="2"/>
  <c r="F133" i="2" a="1"/>
  <c r="F133" i="2"/>
  <c r="N249" i="2" a="1"/>
  <c r="N249" i="2"/>
  <c r="I144" i="2" a="1"/>
  <c r="I144" i="2"/>
  <c r="I299" i="2" a="1"/>
  <c r="I299" i="2"/>
  <c r="L249" i="2" a="1"/>
  <c r="L249" i="2"/>
  <c r="G248" i="2" a="1"/>
  <c r="G248" i="2"/>
  <c r="M248" i="2" a="1"/>
  <c r="M248" i="2"/>
  <c r="J144" i="2" a="1"/>
  <c r="J144" i="2"/>
  <c r="C144" i="2" a="1"/>
  <c r="C144" i="2"/>
  <c r="N133" i="2" a="1"/>
  <c r="N133" i="2"/>
  <c r="N114" i="2" a="1"/>
  <c r="N114" i="2"/>
  <c r="K114" i="2" a="1"/>
  <c r="K114" i="2"/>
  <c r="J153" i="2" a="1"/>
  <c r="J153" i="2"/>
  <c r="J309" i="2" a="1"/>
  <c r="J309" i="2"/>
  <c r="C153" i="2" a="1"/>
  <c r="C153" i="2"/>
  <c r="N144" i="2" a="1"/>
  <c r="N144" i="2"/>
  <c r="H117" i="2" a="1"/>
  <c r="H117" i="2"/>
  <c r="E112" i="2" a="1"/>
  <c r="E112" i="2"/>
  <c r="C133" i="2" a="1"/>
  <c r="C133" i="2"/>
  <c r="C309" i="2" a="1"/>
  <c r="C309" i="2"/>
  <c r="M309" i="2" a="1"/>
  <c r="M309" i="2"/>
  <c r="E133" i="2" a="1"/>
  <c r="E133" i="2"/>
  <c r="N153" i="2" a="1"/>
  <c r="N153" i="2"/>
  <c r="M249" i="2" a="1"/>
  <c r="M249" i="2"/>
  <c r="L112" i="2" a="1"/>
  <c r="L112" i="2"/>
  <c r="M112" i="2" a="1"/>
  <c r="M112" i="2"/>
  <c r="D249" i="2" a="1"/>
  <c r="D249" i="2"/>
  <c r="E144" i="2" a="1"/>
  <c r="E144" i="2"/>
  <c r="K299" i="2" a="1"/>
  <c r="K299" i="2"/>
  <c r="D309" i="2" a="1"/>
  <c r="D309" i="2"/>
  <c r="D144" i="2" a="1"/>
  <c r="D144" i="2"/>
  <c r="E117" i="2" a="1"/>
  <c r="E117" i="2"/>
  <c r="L117" i="2" a="1"/>
  <c r="L117" i="2"/>
  <c r="E248" i="2" a="1"/>
  <c r="E248" i="2"/>
  <c r="I249" i="2" a="1"/>
  <c r="I249" i="2"/>
  <c r="K117" i="2" a="1"/>
  <c r="K117" i="2"/>
  <c r="J117" i="2" a="1"/>
  <c r="J117" i="2"/>
  <c r="D133" i="2" a="1"/>
  <c r="D133" i="2"/>
  <c r="K144" i="2" a="1"/>
  <c r="K144" i="2"/>
  <c r="D299" i="2" a="1"/>
  <c r="D299" i="2"/>
  <c r="K112" i="2" a="1"/>
  <c r="K112" i="2"/>
  <c r="K309" i="2" a="1"/>
  <c r="K309" i="2"/>
  <c r="D248" i="2" a="1"/>
  <c r="D248" i="2"/>
  <c r="N117" i="2" a="1"/>
  <c r="N117" i="2"/>
  <c r="G112" i="2" a="1"/>
  <c r="G112" i="2"/>
  <c r="H133" i="2" a="1"/>
  <c r="H133" i="2"/>
  <c r="G133" i="2" a="1"/>
  <c r="G133" i="2"/>
  <c r="C248" i="2" a="1"/>
  <c r="C248" i="2"/>
  <c r="I153" i="2" a="1"/>
  <c r="I153" i="2"/>
  <c r="J114" i="2" a="1"/>
  <c r="J114" i="2"/>
  <c r="G153" i="2" a="1"/>
  <c r="G153" i="2"/>
  <c r="H299" i="2" a="1"/>
  <c r="H299" i="2"/>
  <c r="I133" i="2" a="1"/>
  <c r="I133" i="2"/>
  <c r="N248" i="2" a="1"/>
  <c r="N248" i="2"/>
  <c r="G144" i="2" a="1"/>
  <c r="G144" i="2"/>
  <c r="C114" i="2" a="1"/>
  <c r="C114" i="2"/>
  <c r="G299" i="2" a="1"/>
  <c r="G299" i="2"/>
  <c r="F114" i="2" a="1"/>
  <c r="F114" i="2"/>
  <c r="F112" i="2" a="1"/>
  <c r="F112" i="2"/>
  <c r="E114" i="2" a="1"/>
  <c r="E114" i="2"/>
  <c r="F249" i="2" a="1"/>
  <c r="F249" i="2"/>
  <c r="E299" i="2" a="1"/>
  <c r="E299" i="2"/>
  <c r="L114" i="2" a="1"/>
  <c r="L114" i="2"/>
  <c r="C249" i="2" a="1"/>
  <c r="C249" i="2"/>
  <c r="M153" i="2" a="1"/>
  <c r="M153" i="2"/>
  <c r="I114" i="2" a="1"/>
  <c r="I114" i="2"/>
  <c r="E153" i="2" a="1"/>
  <c r="E153" i="2"/>
  <c r="H114" i="2" a="1"/>
  <c r="H114" i="2"/>
  <c r="L133" i="2" a="1"/>
  <c r="L133" i="2"/>
  <c r="H112" i="2" a="1"/>
  <c r="H112" i="2"/>
  <c r="N112" i="2" a="1"/>
  <c r="N112" i="2"/>
  <c r="L299" i="2" a="1"/>
  <c r="L299" i="2"/>
  <c r="N299" i="2" a="1"/>
  <c r="N299" i="2"/>
  <c r="C117" i="2" a="1"/>
  <c r="C117" i="2"/>
  <c r="L153" i="2" a="1"/>
  <c r="L153" i="2"/>
  <c r="E309" i="2" a="1"/>
  <c r="E309" i="2"/>
  <c r="K153" i="2" a="1"/>
  <c r="K153" i="2"/>
  <c r="H309" i="2" a="1"/>
  <c r="H309" i="2"/>
  <c r="M299" i="2" a="1"/>
  <c r="M299" i="2"/>
  <c r="D117" i="2" a="1"/>
  <c r="D117" i="2"/>
  <c r="K249" i="2" a="1"/>
  <c r="K249" i="2"/>
  <c r="I309" i="2" a="1"/>
  <c r="I309" i="2"/>
  <c r="L144" i="2" a="1"/>
  <c r="L144" i="2"/>
  <c r="M114" i="2" a="1"/>
  <c r="M114" i="2"/>
  <c r="H248" i="2" a="1"/>
  <c r="H248" i="2"/>
  <c r="F153" i="2" a="1"/>
  <c r="F153" i="2"/>
  <c r="C299" i="2" a="1"/>
  <c r="C299" i="2"/>
  <c r="G309" i="2" a="1"/>
  <c r="G309" i="2"/>
  <c r="M133" i="2" a="1"/>
  <c r="M133" i="2"/>
  <c r="H153" i="2" a="1"/>
  <c r="H153" i="2"/>
  <c r="M144" i="2" a="1"/>
  <c r="M144" i="2"/>
  <c r="J248" i="2" a="1"/>
  <c r="J248" i="2"/>
  <c r="F299" i="2" a="1"/>
  <c r="F299" i="2"/>
  <c r="I112" i="2" a="1"/>
  <c r="I112" i="2"/>
  <c r="I117" i="2" a="1"/>
  <c r="I117" i="2"/>
  <c r="F309" i="2" a="1"/>
  <c r="F309" i="2"/>
  <c r="K133" i="2" a="1"/>
  <c r="K133" i="2"/>
  <c r="D153" i="2" a="1"/>
  <c r="D153" i="2"/>
  <c r="J133" i="2" a="1"/>
  <c r="J133" i="2"/>
  <c r="L309" i="2" a="1"/>
  <c r="L309" i="2"/>
  <c r="D114" i="2" a="1"/>
  <c r="D114" i="2"/>
  <c r="C112" i="2" a="1"/>
  <c r="C112" i="2"/>
  <c r="H249" i="2" a="1"/>
  <c r="H249" i="2"/>
  <c r="F117" i="2" a="1"/>
  <c r="F117" i="2"/>
  <c r="L248" i="2" a="1"/>
  <c r="L248" i="2"/>
  <c r="F144" i="2" a="1"/>
  <c r="F144" i="2"/>
  <c r="J299" i="2" a="1"/>
  <c r="J299" i="2"/>
  <c r="C11" i="2" a="1"/>
  <c r="C11" i="2"/>
  <c r="J173" i="2" a="1"/>
  <c r="J173" i="2"/>
  <c r="L61" i="2" a="1"/>
  <c r="L61" i="2"/>
  <c r="M61" i="2" a="1"/>
  <c r="M61" i="2"/>
  <c r="E317" i="2" a="1"/>
  <c r="E317" i="2"/>
  <c r="D77" i="2" a="1"/>
  <c r="D77" i="2"/>
  <c r="D61" i="2" a="1"/>
  <c r="D61" i="2"/>
  <c r="L274" i="2" a="1"/>
  <c r="L274" i="2"/>
  <c r="C187" i="2" a="1"/>
  <c r="C187" i="2"/>
  <c r="I11" i="2" a="1"/>
  <c r="I11" i="2"/>
  <c r="M187" i="2" a="1"/>
  <c r="M187" i="2"/>
  <c r="C162" i="2" a="1"/>
  <c r="C162" i="2"/>
  <c r="J317" i="2" a="1"/>
  <c r="J317" i="2"/>
  <c r="M183" i="2" a="1"/>
  <c r="M183" i="2"/>
  <c r="L317" i="2" a="1"/>
  <c r="L317" i="2"/>
  <c r="N187" i="2" a="1"/>
  <c r="N187" i="2"/>
  <c r="K317" i="2" a="1"/>
  <c r="K317" i="2"/>
  <c r="G173" i="2" a="1"/>
  <c r="G173" i="2"/>
  <c r="H162" i="2" a="1"/>
  <c r="H162" i="2"/>
  <c r="K77" i="2" a="1"/>
  <c r="K77" i="2"/>
  <c r="I187" i="2" a="1"/>
  <c r="I187" i="2"/>
  <c r="J62" i="2" a="1"/>
  <c r="J62" i="2"/>
  <c r="N162" i="2" a="1"/>
  <c r="N162" i="2"/>
  <c r="F183" i="2" a="1"/>
  <c r="F183" i="2"/>
  <c r="C77" i="2" a="1"/>
  <c r="C77" i="2"/>
  <c r="N62" i="2" a="1"/>
  <c r="N62" i="2"/>
  <c r="G274" i="2" a="1"/>
  <c r="G274" i="2"/>
  <c r="E173" i="2" a="1"/>
  <c r="E173" i="2"/>
  <c r="D274" i="2" a="1"/>
  <c r="D274" i="2"/>
  <c r="C62" i="2" a="1"/>
  <c r="C62" i="2"/>
  <c r="M317" i="2" a="1"/>
  <c r="M317" i="2"/>
  <c r="N61" i="2" a="1"/>
  <c r="N61" i="2"/>
  <c r="J187" i="2" a="1"/>
  <c r="J187" i="2"/>
  <c r="F11" i="2" a="1"/>
  <c r="F11" i="2"/>
  <c r="H187" i="2" a="1"/>
  <c r="H187" i="2"/>
  <c r="F317" i="2" a="1"/>
  <c r="F317" i="2"/>
  <c r="H77" i="2" a="1"/>
  <c r="H77" i="2"/>
  <c r="E183" i="2" a="1"/>
  <c r="E183" i="2"/>
  <c r="H61" i="2" a="1"/>
  <c r="H61" i="2"/>
  <c r="G61" i="2" a="1"/>
  <c r="G61" i="2"/>
  <c r="K183" i="2" a="1"/>
  <c r="K183" i="2"/>
  <c r="J183" i="2" a="1"/>
  <c r="J183" i="2"/>
  <c r="I183" i="2" a="1"/>
  <c r="I183" i="2"/>
  <c r="C274" i="2" a="1"/>
  <c r="C274" i="2"/>
  <c r="I162" i="2" a="1"/>
  <c r="I162" i="2"/>
  <c r="I173" i="2" a="1"/>
  <c r="I173" i="2"/>
  <c r="D173" i="2" a="1"/>
  <c r="D173" i="2"/>
  <c r="J274" i="2" a="1"/>
  <c r="J274" i="2"/>
  <c r="I317" i="2" a="1"/>
  <c r="I317" i="2"/>
  <c r="J61" i="2" a="1"/>
  <c r="J61" i="2"/>
  <c r="K61" i="2" a="1"/>
  <c r="K61" i="2"/>
  <c r="F187" i="2" a="1"/>
  <c r="F187" i="2"/>
  <c r="C183" i="2" a="1"/>
  <c r="C183" i="2"/>
  <c r="I77" i="2" a="1"/>
  <c r="I77" i="2"/>
  <c r="E162" i="2" a="1"/>
  <c r="E162" i="2"/>
  <c r="E11" i="2" a="1"/>
  <c r="E11" i="2"/>
  <c r="G162" i="2" a="1"/>
  <c r="G162" i="2"/>
  <c r="D187" i="2" a="1"/>
  <c r="D187" i="2"/>
  <c r="E187" i="2" a="1"/>
  <c r="E187" i="2"/>
  <c r="H274" i="2" a="1"/>
  <c r="H274" i="2"/>
  <c r="F274" i="2" a="1"/>
  <c r="F274" i="2"/>
  <c r="J11" i="2" a="1"/>
  <c r="J11" i="2"/>
  <c r="L162" i="2" a="1"/>
  <c r="L162" i="2"/>
  <c r="G183" i="2" a="1"/>
  <c r="G183" i="2"/>
  <c r="D183" i="2" a="1"/>
  <c r="D183" i="2"/>
  <c r="H62" i="2" a="1"/>
  <c r="H62" i="2"/>
  <c r="D317" i="2" a="1"/>
  <c r="D317" i="2"/>
  <c r="L11" i="2" a="1"/>
  <c r="L11" i="2"/>
  <c r="F61" i="2" a="1"/>
  <c r="F61" i="2"/>
  <c r="E274" i="2" a="1"/>
  <c r="E274" i="2"/>
  <c r="L77" i="2" a="1"/>
  <c r="L77" i="2"/>
  <c r="N317" i="2" a="1"/>
  <c r="N317" i="2"/>
  <c r="N183" i="2" a="1"/>
  <c r="N183" i="2"/>
  <c r="I62" i="2" a="1"/>
  <c r="I62" i="2"/>
  <c r="D62" i="2" a="1"/>
  <c r="D62" i="2"/>
  <c r="L183" i="2" a="1"/>
  <c r="L183" i="2"/>
  <c r="G77" i="2" a="1"/>
  <c r="G77" i="2"/>
  <c r="D162" i="2" a="1"/>
  <c r="D162" i="2"/>
  <c r="F62" i="2" a="1"/>
  <c r="F62" i="2"/>
  <c r="G317" i="2" a="1"/>
  <c r="G317" i="2"/>
  <c r="L62" i="2" a="1"/>
  <c r="L62" i="2"/>
  <c r="M162" i="2" a="1"/>
  <c r="M162" i="2"/>
  <c r="K62" i="2" a="1"/>
  <c r="K62" i="2"/>
  <c r="L187" i="2" a="1"/>
  <c r="L187" i="2"/>
  <c r="M11" i="2" a="1"/>
  <c r="M11" i="2"/>
  <c r="G187" i="2" a="1"/>
  <c r="G187" i="2"/>
  <c r="H317" i="2" a="1"/>
  <c r="H317" i="2"/>
  <c r="K173" i="2" a="1"/>
  <c r="K173" i="2"/>
  <c r="N77" i="2" a="1"/>
  <c r="N77" i="2"/>
  <c r="K11" i="2" a="1"/>
  <c r="K11" i="2"/>
  <c r="E77" i="2" a="1"/>
  <c r="E77" i="2"/>
  <c r="E61" i="2" a="1"/>
  <c r="E61" i="2"/>
  <c r="F173" i="2" a="1"/>
  <c r="F173" i="2"/>
  <c r="D11" i="2" a="1"/>
  <c r="D11" i="2"/>
  <c r="C61" i="2" a="1"/>
  <c r="C61" i="2"/>
  <c r="E62" i="2" a="1"/>
  <c r="E62" i="2"/>
  <c r="H11" i="2" a="1"/>
  <c r="H11" i="2"/>
  <c r="K274" i="2" a="1"/>
  <c r="K274" i="2"/>
  <c r="C173" i="2" a="1"/>
  <c r="C173" i="2"/>
  <c r="M173" i="2" a="1"/>
  <c r="M173" i="2"/>
  <c r="G11" i="2" a="1"/>
  <c r="G11" i="2"/>
  <c r="J162" i="2" a="1"/>
  <c r="J162" i="2"/>
  <c r="M77" i="2" a="1"/>
  <c r="M77" i="2"/>
  <c r="H173" i="2" a="1"/>
  <c r="H173" i="2"/>
  <c r="I274" i="2" a="1"/>
  <c r="I274" i="2"/>
  <c r="M62" i="2" a="1"/>
  <c r="M62" i="2"/>
  <c r="L173" i="2" a="1"/>
  <c r="L173" i="2"/>
  <c r="F162" i="2" a="1"/>
  <c r="F162" i="2"/>
  <c r="J77" i="2" a="1"/>
  <c r="J77" i="2"/>
  <c r="I61" i="2" a="1"/>
  <c r="I61" i="2"/>
  <c r="G62" i="2" a="1"/>
  <c r="G62" i="2"/>
  <c r="K162" i="2" a="1"/>
  <c r="K162" i="2"/>
  <c r="H183" i="2" a="1"/>
  <c r="H183" i="2"/>
  <c r="N274" i="2" a="1"/>
  <c r="N274" i="2"/>
  <c r="M274" i="2" a="1"/>
  <c r="M274" i="2"/>
  <c r="N173" i="2" a="1"/>
  <c r="N173" i="2"/>
  <c r="F77" i="2" a="1"/>
  <c r="F77" i="2"/>
  <c r="K187" i="2" a="1"/>
  <c r="K187" i="2"/>
  <c r="C317" i="2" a="1"/>
  <c r="C317" i="2"/>
  <c r="N11" i="2" a="1"/>
  <c r="N11" i="2"/>
  <c r="F290" i="2" a="1"/>
  <c r="F290" i="2"/>
  <c r="K7" i="2" a="1"/>
  <c r="K7" i="2"/>
  <c r="H34" i="2" a="1"/>
  <c r="H34" i="2"/>
  <c r="N7" i="2" a="1"/>
  <c r="N7" i="2"/>
  <c r="I58" i="2" a="1"/>
  <c r="I58" i="2"/>
  <c r="C272" i="2" a="1"/>
  <c r="C272" i="2"/>
  <c r="I7" i="2" a="1"/>
  <c r="I7" i="2"/>
  <c r="G290" i="2" a="1"/>
  <c r="G290" i="2"/>
  <c r="H272" i="2" a="1"/>
  <c r="H272" i="2"/>
  <c r="N34" i="2" a="1"/>
  <c r="N34" i="2"/>
  <c r="J134" i="2" a="1"/>
  <c r="J134" i="2"/>
  <c r="D34" i="2" a="1"/>
  <c r="D34" i="2"/>
  <c r="K290" i="2" a="1"/>
  <c r="K290" i="2"/>
  <c r="J235" i="2" a="1"/>
  <c r="J235" i="2"/>
  <c r="M7" i="2" a="1"/>
  <c r="M7" i="2"/>
  <c r="E58" i="2" a="1"/>
  <c r="E58" i="2"/>
  <c r="M235" i="2" a="1"/>
  <c r="M235" i="2"/>
  <c r="K134" i="2" a="1"/>
  <c r="K134" i="2"/>
  <c r="G7" i="2" a="1"/>
  <c r="G7" i="2"/>
  <c r="K34" i="2" a="1"/>
  <c r="K34" i="2"/>
  <c r="E15" i="2" a="1"/>
  <c r="E15" i="2"/>
  <c r="G41" i="2" a="1"/>
  <c r="G41" i="2"/>
  <c r="E7" i="2" a="1"/>
  <c r="E7" i="2"/>
  <c r="D41" i="2" a="1"/>
  <c r="D41" i="2"/>
  <c r="I6" i="2" a="1"/>
  <c r="I6" i="2"/>
  <c r="D290" i="2" a="1"/>
  <c r="D290" i="2"/>
  <c r="L134" i="2" a="1"/>
  <c r="L134" i="2"/>
  <c r="C15" i="2" a="1"/>
  <c r="C15" i="2"/>
  <c r="D272" i="2" a="1"/>
  <c r="D272" i="2"/>
  <c r="H235" i="2" a="1"/>
  <c r="H235" i="2"/>
  <c r="H58" i="2" a="1"/>
  <c r="H58" i="2"/>
  <c r="F7" i="2" a="1"/>
  <c r="F7" i="2"/>
  <c r="H15" i="2" a="1"/>
  <c r="H15" i="2"/>
  <c r="N272" i="2" a="1"/>
  <c r="N272" i="2"/>
  <c r="F41" i="2" a="1"/>
  <c r="F41" i="2"/>
  <c r="E41" i="2" a="1"/>
  <c r="E41" i="2"/>
  <c r="M6" i="2" a="1"/>
  <c r="M6" i="2"/>
  <c r="D15" i="2" a="1"/>
  <c r="D15" i="2"/>
  <c r="M15" i="2" a="1"/>
  <c r="M15" i="2"/>
  <c r="L235" i="2" a="1"/>
  <c r="L235" i="2"/>
  <c r="E6" i="2" a="1"/>
  <c r="E6" i="2"/>
  <c r="J41" i="2" a="1"/>
  <c r="J41" i="2"/>
  <c r="L290" i="2" a="1"/>
  <c r="L290" i="2"/>
  <c r="D58" i="2" a="1"/>
  <c r="D58" i="2"/>
  <c r="D134" i="2" a="1"/>
  <c r="D134" i="2"/>
  <c r="N134" i="2" a="1"/>
  <c r="N134" i="2"/>
  <c r="L272" i="2" a="1"/>
  <c r="L272" i="2"/>
  <c r="L41" i="2" a="1"/>
  <c r="L41" i="2"/>
  <c r="F134" i="2" a="1"/>
  <c r="F134" i="2"/>
  <c r="F6" i="2" a="1"/>
  <c r="F6" i="2"/>
  <c r="F58" i="2" a="1"/>
  <c r="F58" i="2"/>
  <c r="J34" i="2" a="1"/>
  <c r="J34" i="2"/>
  <c r="H6" i="2" a="1"/>
  <c r="H6" i="2"/>
  <c r="L58" i="2" a="1"/>
  <c r="L58" i="2"/>
  <c r="J272" i="2" a="1"/>
  <c r="J272" i="2"/>
  <c r="I272" i="2" a="1"/>
  <c r="I272" i="2"/>
  <c r="M41" i="2" a="1"/>
  <c r="M41" i="2"/>
  <c r="N58" i="2" a="1"/>
  <c r="N58" i="2"/>
  <c r="E235" i="2" a="1"/>
  <c r="E235" i="2"/>
  <c r="I15" i="2" a="1"/>
  <c r="I15" i="2"/>
  <c r="H290" i="2" a="1"/>
  <c r="H290" i="2"/>
  <c r="E290" i="2" a="1"/>
  <c r="E290" i="2"/>
  <c r="N235" i="2" a="1"/>
  <c r="N235" i="2"/>
  <c r="K58" i="2" a="1"/>
  <c r="K58" i="2"/>
  <c r="F15" i="2" a="1"/>
  <c r="F15" i="2"/>
  <c r="C41" i="2" a="1"/>
  <c r="C41" i="2"/>
  <c r="J7" i="2" a="1"/>
  <c r="J7" i="2"/>
  <c r="M134" i="2" a="1"/>
  <c r="M134" i="2"/>
  <c r="M290" i="2" a="1"/>
  <c r="M290" i="2"/>
  <c r="G58" i="2" a="1"/>
  <c r="G58" i="2"/>
  <c r="F272" i="2" a="1"/>
  <c r="F272" i="2"/>
  <c r="C34" i="2" a="1"/>
  <c r="C34" i="2"/>
  <c r="J15" i="2" a="1"/>
  <c r="J15" i="2"/>
  <c r="C6" i="2" a="1"/>
  <c r="C6" i="2"/>
  <c r="M272" i="2" a="1"/>
  <c r="M272" i="2"/>
  <c r="G134" i="2" a="1"/>
  <c r="G134" i="2"/>
  <c r="L6" i="2" a="1"/>
  <c r="L6" i="2"/>
  <c r="H41" i="2" a="1"/>
  <c r="H41" i="2"/>
  <c r="H7" i="2" a="1"/>
  <c r="H7" i="2"/>
  <c r="J58" i="2" a="1"/>
  <c r="J58" i="2"/>
  <c r="H134" i="2" a="1"/>
  <c r="H134" i="2"/>
  <c r="C235" i="2" a="1"/>
  <c r="C235" i="2"/>
  <c r="K6" i="2" a="1"/>
  <c r="K6" i="2"/>
  <c r="E272" i="2" a="1"/>
  <c r="E272" i="2"/>
  <c r="G235" i="2" a="1"/>
  <c r="G235" i="2"/>
  <c r="C290" i="2" a="1"/>
  <c r="C290" i="2"/>
  <c r="K235" i="2" a="1"/>
  <c r="K235" i="2"/>
  <c r="N6" i="2" a="1"/>
  <c r="N6" i="2"/>
  <c r="L7" i="2" a="1"/>
  <c r="L7" i="2"/>
  <c r="K272" i="2" a="1"/>
  <c r="K272" i="2"/>
  <c r="J290" i="2" a="1"/>
  <c r="J290" i="2"/>
  <c r="N15" i="2" a="1"/>
  <c r="N15" i="2"/>
  <c r="E134" i="2" a="1"/>
  <c r="E134" i="2"/>
  <c r="M34" i="2" a="1"/>
  <c r="M34" i="2"/>
  <c r="K15" i="2" a="1"/>
  <c r="K15" i="2"/>
  <c r="L15" i="2" a="1"/>
  <c r="L15" i="2"/>
  <c r="F34" i="2" a="1"/>
  <c r="F34" i="2"/>
  <c r="C58" i="2" a="1"/>
  <c r="C58" i="2"/>
  <c r="E34" i="2" a="1"/>
  <c r="E34" i="2"/>
  <c r="J6" i="2" a="1"/>
  <c r="J6" i="2"/>
  <c r="D235" i="2" a="1"/>
  <c r="D235" i="2"/>
  <c r="C7" i="2" a="1"/>
  <c r="C7" i="2"/>
  <c r="K41" i="2" a="1"/>
  <c r="K41" i="2"/>
  <c r="I34" i="2" a="1"/>
  <c r="I34" i="2"/>
  <c r="N41" i="2" a="1"/>
  <c r="N41" i="2"/>
  <c r="F235" i="2" a="1"/>
  <c r="F235" i="2"/>
  <c r="G6" i="2" a="1"/>
  <c r="G6" i="2"/>
  <c r="G34" i="2" a="1"/>
  <c r="G34" i="2"/>
  <c r="N290" i="2" a="1"/>
  <c r="N290" i="2"/>
  <c r="I134" i="2" a="1"/>
  <c r="I134" i="2"/>
  <c r="I290" i="2" a="1"/>
  <c r="I290" i="2"/>
  <c r="M58" i="2" a="1"/>
  <c r="M58" i="2"/>
  <c r="C134" i="2" a="1"/>
  <c r="C134" i="2"/>
  <c r="G15" i="2" a="1"/>
  <c r="G15" i="2"/>
  <c r="D7" i="2" a="1"/>
  <c r="D7" i="2"/>
  <c r="D6" i="2" a="1"/>
  <c r="D6" i="2"/>
  <c r="G272" i="2" a="1"/>
  <c r="G272" i="2"/>
  <c r="L34" i="2" a="1"/>
  <c r="L34" i="2"/>
  <c r="I235" i="2" a="1"/>
  <c r="I235" i="2"/>
  <c r="I41" i="2" a="1"/>
  <c r="I41" i="2"/>
  <c r="H5" i="2" a="1"/>
  <c r="H5" i="2"/>
  <c r="F158" i="2" a="1"/>
  <c r="F158" i="2"/>
  <c r="K217" i="2" a="1"/>
  <c r="K217" i="2"/>
  <c r="C5" i="2" a="1"/>
  <c r="C5" i="2"/>
  <c r="C79" i="2" a="1"/>
  <c r="C79" i="2"/>
  <c r="J202" i="2" a="1"/>
  <c r="J202" i="2"/>
  <c r="C158" i="2" a="1"/>
  <c r="C158" i="2"/>
  <c r="E202" i="2" a="1"/>
  <c r="E202" i="2"/>
  <c r="N280" i="2" a="1"/>
  <c r="N280" i="2"/>
  <c r="D18" i="2" a="1"/>
  <c r="D18" i="2"/>
  <c r="D5" i="2" a="1"/>
  <c r="D5" i="2"/>
  <c r="D202" i="2" a="1"/>
  <c r="D202" i="2"/>
  <c r="C207" i="2" a="1"/>
  <c r="C207" i="2"/>
  <c r="G53" i="2" a="1"/>
  <c r="G53" i="2"/>
  <c r="K253" i="2" a="1"/>
  <c r="K253" i="2"/>
  <c r="E5" i="2" a="1"/>
  <c r="E5" i="2"/>
  <c r="I280" i="2" a="1"/>
  <c r="I280" i="2"/>
  <c r="K5" i="2" a="1"/>
  <c r="K5" i="2"/>
  <c r="E280" i="2" a="1"/>
  <c r="E280" i="2"/>
  <c r="N53" i="2" a="1"/>
  <c r="N53" i="2"/>
  <c r="D280" i="2" a="1"/>
  <c r="D280" i="2"/>
  <c r="D79" i="2" a="1"/>
  <c r="D79" i="2"/>
  <c r="M18" i="2" a="1"/>
  <c r="M18" i="2"/>
  <c r="F207" i="2" a="1"/>
  <c r="F207" i="2"/>
  <c r="I202" i="2" a="1"/>
  <c r="I202" i="2"/>
  <c r="N79" i="2" a="1"/>
  <c r="N79" i="2"/>
  <c r="L79" i="2" a="1"/>
  <c r="L79" i="2"/>
  <c r="C280" i="2" a="1"/>
  <c r="C280" i="2"/>
  <c r="L253" i="2" a="1"/>
  <c r="L253" i="2"/>
  <c r="J158" i="2" a="1"/>
  <c r="J158" i="2"/>
  <c r="J5" i="2" a="1"/>
  <c r="J5" i="2"/>
  <c r="L158" i="2" a="1"/>
  <c r="L158" i="2"/>
  <c r="M158" i="2" a="1"/>
  <c r="M158" i="2"/>
  <c r="N202" i="2" a="1"/>
  <c r="N202" i="2"/>
  <c r="E79" i="2" a="1"/>
  <c r="E79" i="2"/>
  <c r="I253" i="2" a="1"/>
  <c r="I253" i="2"/>
  <c r="I53" i="2" a="1"/>
  <c r="I53" i="2"/>
  <c r="H207" i="2" a="1"/>
  <c r="H207" i="2"/>
  <c r="G5" i="2" a="1"/>
  <c r="G5" i="2"/>
  <c r="D253" i="2" a="1"/>
  <c r="D253" i="2"/>
  <c r="F53" i="2" a="1"/>
  <c r="F53" i="2"/>
  <c r="I158" i="2" a="1"/>
  <c r="I158" i="2"/>
  <c r="H217" i="2" a="1"/>
  <c r="H217" i="2"/>
  <c r="M217" i="2" a="1"/>
  <c r="M217" i="2"/>
  <c r="L280" i="2" a="1"/>
  <c r="L280" i="2"/>
  <c r="H158" i="2" a="1"/>
  <c r="H158" i="2"/>
  <c r="C253" i="2" a="1"/>
  <c r="C253" i="2"/>
  <c r="I79" i="2" a="1"/>
  <c r="I79" i="2"/>
  <c r="F18" i="2" a="1"/>
  <c r="F18" i="2"/>
  <c r="H53" i="2" a="1"/>
  <c r="H53" i="2"/>
  <c r="K18" i="2" a="1"/>
  <c r="K18" i="2"/>
  <c r="F202" i="2" a="1"/>
  <c r="F202" i="2"/>
  <c r="G207" i="2" a="1"/>
  <c r="G207" i="2"/>
  <c r="I5" i="2" a="1"/>
  <c r="I5" i="2"/>
  <c r="C53" i="2" a="1"/>
  <c r="C53" i="2"/>
  <c r="G18" i="2" a="1"/>
  <c r="G18" i="2"/>
  <c r="E18" i="2" a="1"/>
  <c r="E18" i="2"/>
  <c r="M79" i="2" a="1"/>
  <c r="M79" i="2"/>
  <c r="D53" i="2" a="1"/>
  <c r="D53" i="2"/>
  <c r="L202" i="2" a="1"/>
  <c r="L202" i="2"/>
  <c r="K207" i="2" a="1"/>
  <c r="K207" i="2"/>
  <c r="K79" i="2" a="1"/>
  <c r="K79" i="2"/>
  <c r="C217" i="2" a="1"/>
  <c r="C217" i="2"/>
  <c r="H202" i="2" a="1"/>
  <c r="H202" i="2"/>
  <c r="F5" i="2" a="1"/>
  <c r="F5" i="2"/>
  <c r="K53" i="2" a="1"/>
  <c r="K53" i="2"/>
  <c r="N207" i="2" a="1"/>
  <c r="N207" i="2"/>
  <c r="D158" i="2" a="1"/>
  <c r="D158" i="2"/>
  <c r="H280" i="2" a="1"/>
  <c r="H280" i="2"/>
  <c r="H18" i="2" a="1"/>
  <c r="H18" i="2"/>
  <c r="J217" i="2" a="1"/>
  <c r="J217" i="2"/>
  <c r="G280" i="2" a="1"/>
  <c r="G280" i="2"/>
  <c r="G217" i="2" a="1"/>
  <c r="G217" i="2"/>
  <c r="G158" i="2" a="1"/>
  <c r="G158" i="2"/>
  <c r="C202" i="2" a="1"/>
  <c r="C202" i="2"/>
  <c r="M5" i="2" a="1"/>
  <c r="M5" i="2"/>
  <c r="J79" i="2" a="1"/>
  <c r="J79" i="2"/>
  <c r="D207" i="2" a="1"/>
  <c r="D207" i="2"/>
  <c r="L18" i="2" a="1"/>
  <c r="L18" i="2"/>
  <c r="J207" i="2" a="1"/>
  <c r="J207" i="2"/>
  <c r="C18" i="2" a="1"/>
  <c r="C18" i="2"/>
  <c r="I217" i="2" a="1"/>
  <c r="I217" i="2"/>
  <c r="L53" i="2" a="1"/>
  <c r="L53" i="2"/>
  <c r="E158" i="2" a="1"/>
  <c r="E158" i="2"/>
  <c r="E217" i="2" a="1"/>
  <c r="E217" i="2"/>
  <c r="M53" i="2" a="1"/>
  <c r="M53" i="2"/>
  <c r="J253" i="2" a="1"/>
  <c r="J253" i="2"/>
  <c r="M253" i="2" a="1"/>
  <c r="M253" i="2"/>
  <c r="F253" i="2" a="1"/>
  <c r="F253" i="2"/>
  <c r="H79" i="2" a="1"/>
  <c r="H79" i="2"/>
  <c r="G79" i="2" a="1"/>
  <c r="G79" i="2"/>
  <c r="J53" i="2" a="1"/>
  <c r="J53" i="2"/>
  <c r="G253" i="2" a="1"/>
  <c r="G253" i="2"/>
  <c r="N217" i="2" a="1"/>
  <c r="N217" i="2"/>
  <c r="J280" i="2" a="1"/>
  <c r="J280" i="2"/>
  <c r="N158" i="2" a="1"/>
  <c r="N158" i="2"/>
  <c r="J18" i="2" a="1"/>
  <c r="J18" i="2"/>
  <c r="D217" i="2" a="1"/>
  <c r="D217" i="2"/>
  <c r="K280" i="2" a="1"/>
  <c r="K280" i="2"/>
  <c r="E253" i="2" a="1"/>
  <c r="E253" i="2"/>
  <c r="N18" i="2" a="1"/>
  <c r="N18" i="2"/>
  <c r="L5" i="2" a="1"/>
  <c r="L5" i="2"/>
  <c r="L207" i="2" a="1"/>
  <c r="L207" i="2"/>
  <c r="E207" i="2" a="1"/>
  <c r="E207" i="2"/>
  <c r="F217" i="2" a="1"/>
  <c r="F217" i="2"/>
  <c r="G202" i="2" a="1"/>
  <c r="G202" i="2"/>
  <c r="F280" i="2" a="1"/>
  <c r="F280" i="2"/>
  <c r="N253" i="2" a="1"/>
  <c r="N253" i="2"/>
  <c r="M202" i="2" a="1"/>
  <c r="M202" i="2"/>
  <c r="M280" i="2" a="1"/>
  <c r="M280" i="2"/>
  <c r="I207" i="2" a="1"/>
  <c r="I207" i="2"/>
  <c r="E53" i="2" a="1"/>
  <c r="E53" i="2"/>
  <c r="L217" i="2" a="1"/>
  <c r="L217" i="2"/>
  <c r="K158" i="2" a="1"/>
  <c r="K158" i="2"/>
  <c r="N5" i="2" a="1"/>
  <c r="N5" i="2"/>
  <c r="I18" i="2" a="1"/>
  <c r="I18" i="2"/>
  <c r="K202" i="2" a="1"/>
  <c r="K202" i="2"/>
  <c r="M207" i="2" a="1"/>
  <c r="M207" i="2"/>
  <c r="F79" i="2" a="1"/>
  <c r="F79" i="2"/>
  <c r="H253" i="2" a="1"/>
  <c r="H253" i="2"/>
  <c r="A3" i="2" a="1"/>
  <c r="A3" i="2" l="1"/>
  <c r="N303" i="2" a="1"/>
  <c r="N303" i="2" l="1"/>
  <c r="M303" i="2" a="1"/>
  <c r="M303" i="2" l="1"/>
  <c r="L303" i="2" a="1"/>
  <c r="L303" i="2" l="1"/>
  <c r="K303" i="2" a="1"/>
  <c r="K303" i="2" l="1"/>
  <c r="J303" i="2" a="1"/>
  <c r="J303" i="2" l="1"/>
  <c r="I303" i="2" a="1"/>
  <c r="I303" i="2" l="1"/>
  <c r="H303" i="2" a="1"/>
  <c r="H303" i="2" l="1"/>
  <c r="G303" i="2" a="1"/>
  <c r="G303" i="2" l="1"/>
  <c r="F303" i="2" a="1"/>
  <c r="F303" i="2" l="1"/>
  <c r="E303" i="2" a="1"/>
  <c r="E303" i="2" l="1"/>
  <c r="D303" i="2" a="1"/>
  <c r="D303" i="2" l="1"/>
  <c r="C303" i="2" a="1"/>
  <c r="C303" i="2" l="1"/>
  <c r="N297" i="2" a="1"/>
  <c r="N297" i="2" l="1"/>
  <c r="M297" i="2" a="1"/>
  <c r="M297" i="2" l="1"/>
  <c r="L297" i="2" a="1"/>
  <c r="L297" i="2" l="1"/>
  <c r="K297" i="2" a="1"/>
  <c r="K297" i="2" l="1"/>
  <c r="J297" i="2" a="1"/>
  <c r="J297" i="2" l="1"/>
  <c r="I297" i="2" a="1"/>
  <c r="I297" i="2" l="1"/>
  <c r="H297" i="2" a="1"/>
  <c r="H297" i="2" l="1"/>
  <c r="G297" i="2" a="1"/>
  <c r="G297" i="2" l="1"/>
  <c r="F297" i="2" a="1"/>
  <c r="F297" i="2" l="1"/>
  <c r="E297" i="2" a="1"/>
  <c r="E297" i="2" l="1"/>
  <c r="D297" i="2" a="1"/>
  <c r="D297" i="2" l="1"/>
  <c r="C297" i="2" a="1"/>
  <c r="C297" i="2" l="1"/>
  <c r="N282" i="2" a="1"/>
  <c r="N282" i="2" l="1"/>
  <c r="M282" i="2" a="1"/>
  <c r="M282" i="2" l="1"/>
  <c r="L282" i="2" a="1"/>
  <c r="L282" i="2" l="1"/>
  <c r="K282" i="2" a="1"/>
  <c r="K282" i="2" l="1"/>
  <c r="J282" i="2" a="1"/>
  <c r="J282" i="2" l="1"/>
  <c r="I282" i="2" a="1"/>
  <c r="I282" i="2" l="1"/>
  <c r="H282" i="2" a="1"/>
  <c r="H282" i="2" l="1"/>
  <c r="G282" i="2" a="1"/>
  <c r="G282" i="2" l="1"/>
  <c r="F282" i="2" a="1"/>
  <c r="F282" i="2" l="1"/>
  <c r="E282" i="2" a="1"/>
  <c r="E282" i="2" l="1"/>
  <c r="D282" i="2" a="1"/>
  <c r="D282" i="2" l="1"/>
  <c r="C282" i="2" a="1"/>
  <c r="C282" i="2" l="1"/>
  <c r="N278" i="2" a="1"/>
  <c r="N278" i="2" l="1"/>
  <c r="M278" i="2" a="1"/>
  <c r="M278" i="2" l="1"/>
  <c r="L278" i="2" a="1"/>
  <c r="L278" i="2" l="1"/>
  <c r="K278" i="2" a="1"/>
  <c r="K278" i="2" l="1"/>
  <c r="J278" i="2" a="1"/>
  <c r="J278" i="2" l="1"/>
  <c r="I278" i="2" a="1"/>
  <c r="I278" i="2" l="1"/>
  <c r="H278" i="2" a="1"/>
  <c r="H278" i="2" l="1"/>
  <c r="G278" i="2" a="1"/>
  <c r="G278" i="2" l="1"/>
  <c r="F278" i="2" a="1"/>
  <c r="F278" i="2" l="1"/>
  <c r="E278" i="2" a="1"/>
  <c r="E278" i="2" l="1"/>
  <c r="D278" i="2" a="1"/>
  <c r="D278" i="2" l="1"/>
  <c r="C278" i="2" a="1"/>
  <c r="C278" i="2" l="1"/>
  <c r="N276" i="2" a="1"/>
  <c r="N276" i="2" l="1"/>
  <c r="M276" i="2" a="1"/>
  <c r="M276" i="2" l="1"/>
  <c r="L276" i="2" a="1"/>
  <c r="L276" i="2" l="1"/>
  <c r="K276" i="2" a="1"/>
  <c r="K276" i="2" l="1"/>
  <c r="J276" i="2" a="1"/>
  <c r="J276" i="2" l="1"/>
  <c r="I276" i="2" a="1"/>
  <c r="I276" i="2" l="1"/>
  <c r="H276" i="2" a="1"/>
  <c r="H276" i="2" l="1"/>
  <c r="G276" i="2" a="1"/>
  <c r="G276" i="2" l="1"/>
  <c r="F276" i="2" a="1"/>
  <c r="F276" i="2" l="1"/>
  <c r="E276" i="2" a="1"/>
  <c r="E276" i="2" l="1"/>
  <c r="D276" i="2" a="1"/>
  <c r="D276" i="2" l="1"/>
  <c r="C276" i="2" a="1"/>
  <c r="C276" i="2" l="1"/>
  <c r="N260" i="2" a="1"/>
  <c r="N260" i="2" l="1"/>
  <c r="M260" i="2" a="1"/>
  <c r="M260" i="2" l="1"/>
  <c r="L260" i="2" a="1"/>
  <c r="L260" i="2" l="1"/>
  <c r="K260" i="2" a="1"/>
  <c r="K260" i="2" l="1"/>
  <c r="J260" i="2" a="1"/>
  <c r="J260" i="2" l="1"/>
  <c r="I260" i="2" a="1"/>
  <c r="I260" i="2" l="1"/>
  <c r="H260" i="2" a="1"/>
  <c r="H260" i="2" l="1"/>
  <c r="G260" i="2" a="1"/>
  <c r="G260" i="2" l="1"/>
  <c r="F260" i="2" a="1"/>
  <c r="F260" i="2" l="1"/>
  <c r="E260" i="2" a="1"/>
  <c r="E260" i="2" l="1"/>
  <c r="D260" i="2" a="1"/>
  <c r="D260" i="2" l="1"/>
  <c r="C260" i="2" a="1"/>
  <c r="C260" i="2" l="1"/>
  <c r="N243" i="2" a="1"/>
  <c r="N243" i="2" l="1"/>
  <c r="M243" i="2" a="1"/>
  <c r="M243" i="2" l="1"/>
  <c r="L243" i="2" a="1"/>
  <c r="L243" i="2" l="1"/>
  <c r="K243" i="2" a="1"/>
  <c r="K243" i="2" l="1"/>
  <c r="J243" i="2" a="1"/>
  <c r="J243" i="2" l="1"/>
  <c r="I243" i="2" a="1"/>
  <c r="I243" i="2" l="1"/>
  <c r="H243" i="2" a="1"/>
  <c r="H243" i="2" l="1"/>
  <c r="G243" i="2" a="1"/>
  <c r="G243" i="2" l="1"/>
  <c r="F243" i="2" a="1"/>
  <c r="F243" i="2" l="1"/>
  <c r="E243" i="2" a="1"/>
  <c r="E243" i="2" l="1"/>
  <c r="D243" i="2" a="1"/>
  <c r="D243" i="2" l="1"/>
  <c r="C243" i="2" a="1"/>
  <c r="C243" i="2" l="1"/>
  <c r="N233" i="2" a="1"/>
  <c r="N233" i="2" l="1"/>
  <c r="M233" i="2" a="1"/>
  <c r="M233" i="2" l="1"/>
  <c r="L233" i="2" a="1"/>
  <c r="L233" i="2" l="1"/>
  <c r="K233" i="2" a="1"/>
  <c r="K233" i="2" l="1"/>
  <c r="J233" i="2" a="1"/>
  <c r="J233" i="2" l="1"/>
  <c r="I233" i="2" a="1"/>
  <c r="I233" i="2" l="1"/>
  <c r="H233" i="2" a="1"/>
  <c r="H233" i="2" l="1"/>
  <c r="G233" i="2" a="1"/>
  <c r="G233" i="2" l="1"/>
  <c r="F233" i="2" a="1"/>
  <c r="F233" i="2" l="1"/>
  <c r="E233" i="2" a="1"/>
  <c r="E233" i="2" l="1"/>
  <c r="D233" i="2" a="1"/>
  <c r="D233" i="2" l="1"/>
  <c r="C233" i="2" a="1"/>
  <c r="C233" i="2" l="1"/>
  <c r="N223" i="2" a="1"/>
  <c r="N223" i="2" l="1"/>
  <c r="M223" i="2" a="1"/>
  <c r="M223" i="2" l="1"/>
  <c r="L223" i="2" a="1"/>
  <c r="L223" i="2" l="1"/>
  <c r="K223" i="2" a="1"/>
  <c r="K223" i="2" l="1"/>
  <c r="J223" i="2" a="1"/>
  <c r="J223" i="2" l="1"/>
  <c r="I223" i="2" a="1"/>
  <c r="I223" i="2" l="1"/>
  <c r="H223" i="2" a="1"/>
  <c r="H223" i="2" l="1"/>
  <c r="G223" i="2" a="1"/>
  <c r="G223" i="2" l="1"/>
  <c r="F223" i="2" a="1"/>
  <c r="F223" i="2" l="1"/>
  <c r="E223" i="2" a="1"/>
  <c r="E223" i="2" l="1"/>
  <c r="D223" i="2" a="1"/>
  <c r="D223" i="2" l="1"/>
  <c r="C223" i="2" a="1"/>
  <c r="C223" i="2" l="1"/>
  <c r="N204" i="2" a="1"/>
  <c r="N204" i="2" l="1"/>
  <c r="M204" i="2" a="1"/>
  <c r="M204" i="2" l="1"/>
  <c r="L204" i="2" a="1"/>
  <c r="L204" i="2" l="1"/>
  <c r="K204" i="2" a="1"/>
  <c r="K204" i="2" l="1"/>
  <c r="J204" i="2" a="1"/>
  <c r="J204" i="2" l="1"/>
  <c r="I204" i="2" a="1"/>
  <c r="I204" i="2" l="1"/>
  <c r="H204" i="2" a="1"/>
  <c r="H204" i="2" l="1"/>
  <c r="G204" i="2" a="1"/>
  <c r="G204" i="2" l="1"/>
  <c r="F204" i="2" a="1"/>
  <c r="F204" i="2" l="1"/>
  <c r="E204" i="2" a="1"/>
  <c r="E204" i="2" l="1"/>
  <c r="D204" i="2" a="1"/>
  <c r="D204" i="2" l="1"/>
  <c r="C204" i="2" a="1"/>
  <c r="C204" i="2" l="1"/>
  <c r="N200" i="2" a="1"/>
  <c r="N200" i="2" l="1"/>
  <c r="M200" i="2" a="1"/>
  <c r="M200" i="2" l="1"/>
  <c r="L200" i="2" a="1"/>
  <c r="L200" i="2" l="1"/>
  <c r="K200" i="2" a="1"/>
  <c r="K200" i="2" l="1"/>
  <c r="J200" i="2" a="1"/>
  <c r="J200" i="2" l="1"/>
  <c r="I200" i="2" a="1"/>
  <c r="I200" i="2" l="1"/>
  <c r="H200" i="2" a="1"/>
  <c r="H200" i="2" l="1"/>
  <c r="G200" i="2" a="1"/>
  <c r="G200" i="2" l="1"/>
  <c r="F200" i="2" a="1"/>
  <c r="F200" i="2" l="1"/>
  <c r="E200" i="2" a="1"/>
  <c r="E200" i="2" l="1"/>
  <c r="D200" i="2" a="1"/>
  <c r="D200" i="2" l="1"/>
  <c r="C200" i="2" a="1"/>
  <c r="C200" i="2" l="1"/>
  <c r="N197" i="2" a="1"/>
  <c r="N197" i="2" l="1"/>
  <c r="M197" i="2" a="1"/>
  <c r="M197" i="2" l="1"/>
  <c r="L197" i="2" a="1"/>
  <c r="L197" i="2" l="1"/>
  <c r="K197" i="2" a="1"/>
  <c r="K197" i="2" l="1"/>
  <c r="J197" i="2" a="1"/>
  <c r="J197" i="2" l="1"/>
  <c r="I197" i="2" a="1"/>
  <c r="I197" i="2" l="1"/>
  <c r="H197" i="2" a="1"/>
  <c r="H197" i="2" l="1"/>
  <c r="G197" i="2" a="1"/>
  <c r="G197" i="2" l="1"/>
  <c r="F197" i="2" a="1"/>
  <c r="F197" i="2" l="1"/>
  <c r="E197" i="2" a="1"/>
  <c r="E197" i="2" l="1"/>
  <c r="D197" i="2" a="1"/>
  <c r="D197" i="2" l="1"/>
  <c r="C197" i="2" a="1"/>
  <c r="C197" i="2" l="1"/>
  <c r="N193" i="2" a="1"/>
  <c r="N193" i="2" l="1"/>
  <c r="M193" i="2" a="1"/>
  <c r="M193" i="2" l="1"/>
  <c r="L193" i="2" a="1"/>
  <c r="L193" i="2" l="1"/>
  <c r="K193" i="2" a="1"/>
  <c r="K193" i="2" l="1"/>
  <c r="J193" i="2" a="1"/>
  <c r="J193" i="2" l="1"/>
  <c r="I193" i="2" a="1"/>
  <c r="I193" i="2" l="1"/>
  <c r="H193" i="2" a="1"/>
  <c r="H193" i="2" l="1"/>
  <c r="G193" i="2" a="1"/>
  <c r="G193" i="2" l="1"/>
  <c r="F193" i="2" a="1"/>
  <c r="F193" i="2" l="1"/>
  <c r="E193" i="2" a="1"/>
  <c r="E193" i="2" l="1"/>
  <c r="D193" i="2" a="1"/>
  <c r="D193" i="2" l="1"/>
  <c r="C193" i="2" a="1"/>
  <c r="C193" i="2" l="1"/>
  <c r="N192" i="2" a="1"/>
  <c r="N192" i="2" l="1"/>
  <c r="M192" i="2" a="1"/>
  <c r="M192" i="2" l="1"/>
  <c r="L192" i="2" a="1"/>
  <c r="L192" i="2" l="1"/>
  <c r="K192" i="2" a="1"/>
  <c r="K192" i="2" l="1"/>
  <c r="J192" i="2" a="1"/>
  <c r="J192" i="2" l="1"/>
  <c r="I192" i="2" a="1"/>
  <c r="I192" i="2" l="1"/>
  <c r="H192" i="2" a="1"/>
  <c r="H192" i="2" l="1"/>
  <c r="G192" i="2" a="1"/>
  <c r="G192" i="2" l="1"/>
  <c r="F192" i="2" a="1"/>
  <c r="F192" i="2" l="1"/>
  <c r="E192" i="2" a="1"/>
  <c r="E192" i="2" l="1"/>
  <c r="D192" i="2" a="1"/>
  <c r="D192" i="2" l="1"/>
  <c r="C192" i="2" a="1"/>
  <c r="C192" i="2" l="1"/>
  <c r="N181" i="2" a="1"/>
  <c r="N181" i="2" l="1"/>
  <c r="M181" i="2" a="1"/>
  <c r="M181" i="2" l="1"/>
  <c r="L181" i="2" a="1"/>
  <c r="L181" i="2" l="1"/>
  <c r="K181" i="2" a="1"/>
  <c r="K181" i="2" l="1"/>
  <c r="J181" i="2" a="1"/>
  <c r="J181" i="2" l="1"/>
  <c r="I181" i="2" a="1"/>
  <c r="I181" i="2" l="1"/>
  <c r="H181" i="2" a="1"/>
  <c r="H181" i="2" l="1"/>
  <c r="G181" i="2" a="1"/>
  <c r="G181" i="2" l="1"/>
  <c r="F181" i="2" a="1"/>
  <c r="F181" i="2" l="1"/>
  <c r="E181" i="2" a="1"/>
  <c r="E181" i="2" l="1"/>
  <c r="D181" i="2" a="1"/>
  <c r="D181" i="2" l="1"/>
  <c r="C181" i="2" a="1"/>
  <c r="C181" i="2" l="1"/>
  <c r="N180" i="2" a="1"/>
  <c r="N180" i="2" l="1"/>
  <c r="M180" i="2" a="1"/>
  <c r="M180" i="2" l="1"/>
  <c r="L180" i="2" a="1"/>
  <c r="L180" i="2" l="1"/>
  <c r="K180" i="2" a="1"/>
  <c r="K180" i="2" l="1"/>
  <c r="J180" i="2" a="1"/>
  <c r="J180" i="2" l="1"/>
  <c r="I180" i="2" a="1"/>
  <c r="I180" i="2" l="1"/>
  <c r="H180" i="2" a="1"/>
  <c r="H180" i="2" l="1"/>
  <c r="G180" i="2" a="1"/>
  <c r="G180" i="2" l="1"/>
  <c r="F180" i="2" a="1"/>
  <c r="F180" i="2" l="1"/>
  <c r="E180" i="2" a="1"/>
  <c r="E180" i="2" l="1"/>
  <c r="D180" i="2" a="1"/>
  <c r="D180" i="2" l="1"/>
  <c r="C180" i="2" a="1"/>
  <c r="C180" i="2" l="1"/>
  <c r="N176" i="2" a="1"/>
  <c r="N176" i="2" l="1"/>
  <c r="M176" i="2" a="1"/>
  <c r="M176" i="2" l="1"/>
  <c r="L176" i="2" a="1"/>
  <c r="L176" i="2" l="1"/>
  <c r="K176" i="2" a="1"/>
  <c r="K176" i="2" l="1"/>
  <c r="J176" i="2" a="1"/>
  <c r="J176" i="2" l="1"/>
  <c r="I176" i="2" a="1"/>
  <c r="I176" i="2" l="1"/>
  <c r="H176" i="2" a="1"/>
  <c r="H176" i="2" l="1"/>
  <c r="G176" i="2" a="1"/>
  <c r="G176" i="2" l="1"/>
  <c r="F176" i="2" a="1"/>
  <c r="F176" i="2" l="1"/>
  <c r="E176" i="2" a="1"/>
  <c r="E176" i="2" l="1"/>
  <c r="D176" i="2" a="1"/>
  <c r="D176" i="2" l="1"/>
  <c r="C176" i="2" a="1"/>
  <c r="C176" i="2" l="1"/>
  <c r="N157" i="2" a="1"/>
  <c r="N157" i="2" l="1"/>
  <c r="M157" i="2" a="1"/>
  <c r="M157" i="2" l="1"/>
  <c r="L157" i="2" a="1"/>
  <c r="L157" i="2" l="1"/>
  <c r="K157" i="2" a="1"/>
  <c r="K157" i="2" l="1"/>
  <c r="J157" i="2" a="1"/>
  <c r="J157" i="2" l="1"/>
  <c r="I157" i="2" a="1"/>
  <c r="I157" i="2" l="1"/>
  <c r="H157" i="2" a="1"/>
  <c r="H157" i="2" l="1"/>
  <c r="G157" i="2" a="1"/>
  <c r="G157" i="2" l="1"/>
  <c r="F157" i="2" a="1"/>
  <c r="F157" i="2" l="1"/>
  <c r="E157" i="2" a="1"/>
  <c r="E157" i="2" l="1"/>
  <c r="D157" i="2" a="1"/>
  <c r="D157" i="2" l="1"/>
  <c r="C157" i="2" a="1"/>
  <c r="C157" i="2" l="1"/>
  <c r="N155" i="2" a="1"/>
  <c r="N155" i="2" l="1"/>
  <c r="M155" i="2" a="1"/>
  <c r="M155" i="2" l="1"/>
  <c r="L155" i="2" a="1"/>
  <c r="L155" i="2" l="1"/>
  <c r="K155" i="2" a="1"/>
  <c r="K155" i="2" l="1"/>
  <c r="J155" i="2" a="1"/>
  <c r="J155" i="2" l="1"/>
  <c r="I155" i="2" a="1"/>
  <c r="I155" i="2" l="1"/>
  <c r="H155" i="2" a="1"/>
  <c r="H155" i="2" l="1"/>
  <c r="G155" i="2" a="1"/>
  <c r="G155" i="2" l="1"/>
  <c r="F155" i="2" a="1"/>
  <c r="F155" i="2" l="1"/>
  <c r="E155" i="2" a="1"/>
  <c r="E155" i="2" l="1"/>
  <c r="D155" i="2" a="1"/>
  <c r="D155" i="2" l="1"/>
  <c r="C155" i="2" a="1"/>
  <c r="C155" i="2" l="1"/>
  <c r="N152" i="2" a="1"/>
  <c r="N152" i="2" l="1"/>
  <c r="M152" i="2" a="1"/>
  <c r="M152" i="2" l="1"/>
  <c r="L152" i="2" a="1"/>
  <c r="L152" i="2" l="1"/>
  <c r="K152" i="2" a="1"/>
  <c r="K152" i="2" l="1"/>
  <c r="J152" i="2" a="1"/>
  <c r="J152" i="2" l="1"/>
  <c r="I152" i="2" a="1"/>
  <c r="I152" i="2" l="1"/>
  <c r="H152" i="2" a="1"/>
  <c r="H152" i="2" l="1"/>
  <c r="G152" i="2" a="1"/>
  <c r="G152" i="2" l="1"/>
  <c r="F152" i="2" a="1"/>
  <c r="F152" i="2" l="1"/>
  <c r="E152" i="2" a="1"/>
  <c r="E152" i="2" l="1"/>
  <c r="D152" i="2" a="1"/>
  <c r="D152" i="2" l="1"/>
  <c r="C152" i="2" a="1"/>
  <c r="C152" i="2" l="1"/>
  <c r="N148" i="2" a="1"/>
  <c r="N148" i="2" l="1"/>
  <c r="M148" i="2" a="1"/>
  <c r="M148" i="2" l="1"/>
  <c r="L148" i="2" a="1"/>
  <c r="L148" i="2" l="1"/>
  <c r="K148" i="2" a="1"/>
  <c r="K148" i="2" l="1"/>
  <c r="J148" i="2" a="1"/>
  <c r="J148" i="2" l="1"/>
  <c r="I148" i="2" a="1"/>
  <c r="I148" i="2" l="1"/>
  <c r="H148" i="2" a="1"/>
  <c r="H148" i="2" l="1"/>
  <c r="G148" i="2" a="1"/>
  <c r="G148" i="2" l="1"/>
  <c r="F148" i="2" a="1"/>
  <c r="F148" i="2" l="1"/>
  <c r="E148" i="2" a="1"/>
  <c r="E148" i="2" l="1"/>
  <c r="D148" i="2" a="1"/>
  <c r="D148" i="2" l="1"/>
  <c r="C148" i="2" a="1"/>
  <c r="C148" i="2" l="1"/>
  <c r="N146" i="2" a="1"/>
  <c r="N146" i="2" l="1"/>
  <c r="M146" i="2" a="1"/>
  <c r="M146" i="2" l="1"/>
  <c r="L146" i="2" a="1"/>
  <c r="L146" i="2" l="1"/>
  <c r="K146" i="2" a="1"/>
  <c r="K146" i="2" l="1"/>
  <c r="J146" i="2" a="1"/>
  <c r="J146" i="2" l="1"/>
  <c r="I146" i="2" a="1"/>
  <c r="I146" i="2" l="1"/>
  <c r="H146" i="2" a="1"/>
  <c r="H146" i="2" l="1"/>
  <c r="G146" i="2" a="1"/>
  <c r="G146" i="2" l="1"/>
  <c r="F146" i="2" a="1"/>
  <c r="F146" i="2" l="1"/>
  <c r="E146" i="2" a="1"/>
  <c r="E146" i="2" l="1"/>
  <c r="D146" i="2" a="1"/>
  <c r="D146" i="2" l="1"/>
  <c r="C146" i="2" a="1"/>
  <c r="C146" i="2" l="1"/>
  <c r="N142" i="2" a="1"/>
  <c r="N142" i="2" l="1"/>
  <c r="M142" i="2" a="1"/>
  <c r="M142" i="2" l="1"/>
  <c r="L142" i="2" a="1"/>
  <c r="L142" i="2" l="1"/>
  <c r="K142" i="2" a="1"/>
  <c r="K142" i="2" l="1"/>
  <c r="J142" i="2" a="1"/>
  <c r="J142" i="2" l="1"/>
  <c r="I142" i="2" a="1"/>
  <c r="I142" i="2" l="1"/>
  <c r="H142" i="2" a="1"/>
  <c r="H142" i="2" l="1"/>
  <c r="G142" i="2" a="1"/>
  <c r="G142" i="2" l="1"/>
  <c r="F142" i="2" a="1"/>
  <c r="F142" i="2" l="1"/>
  <c r="E142" i="2" a="1"/>
  <c r="E142" i="2" l="1"/>
  <c r="D142" i="2" a="1"/>
  <c r="D142" i="2" l="1"/>
  <c r="C142" i="2" a="1"/>
  <c r="C142" i="2" l="1"/>
  <c r="N131" i="2" a="1"/>
  <c r="N131" i="2" l="1"/>
  <c r="M131" i="2" a="1"/>
  <c r="M131" i="2" l="1"/>
  <c r="L131" i="2" a="1"/>
  <c r="L131" i="2" l="1"/>
  <c r="K131" i="2" a="1"/>
  <c r="K131" i="2" l="1"/>
  <c r="J131" i="2" a="1"/>
  <c r="J131" i="2" l="1"/>
  <c r="I131" i="2" a="1"/>
  <c r="I131" i="2" l="1"/>
  <c r="H131" i="2" a="1"/>
  <c r="H131" i="2" l="1"/>
  <c r="G131" i="2" a="1"/>
  <c r="G131" i="2" l="1"/>
  <c r="F131" i="2" a="1"/>
  <c r="F131" i="2" l="1"/>
  <c r="E131" i="2" a="1"/>
  <c r="E131" i="2" l="1"/>
  <c r="D131" i="2" a="1"/>
  <c r="D131" i="2" l="1"/>
  <c r="C131" i="2" a="1"/>
  <c r="C131" i="2" l="1"/>
  <c r="N109" i="2" a="1"/>
  <c r="N109" i="2" l="1"/>
  <c r="M109" i="2" a="1"/>
  <c r="M109" i="2" l="1"/>
  <c r="L109" i="2" a="1"/>
  <c r="L109" i="2" l="1"/>
  <c r="K109" i="2" a="1"/>
  <c r="K109" i="2" l="1"/>
  <c r="J109" i="2" a="1"/>
  <c r="J109" i="2" l="1"/>
  <c r="I109" i="2" a="1"/>
  <c r="I109" i="2" l="1"/>
  <c r="H109" i="2" a="1"/>
  <c r="H109" i="2" l="1"/>
  <c r="G109" i="2" a="1"/>
  <c r="G109" i="2" l="1"/>
  <c r="F109" i="2" a="1"/>
  <c r="F109" i="2" l="1"/>
  <c r="E109" i="2" a="1"/>
  <c r="E109" i="2" l="1"/>
  <c r="D109" i="2" a="1"/>
  <c r="D109" i="2" l="1"/>
  <c r="C109" i="2" a="1"/>
  <c r="C109" i="2" l="1"/>
  <c r="N95" i="2" a="1"/>
  <c r="N95" i="2" l="1"/>
  <c r="M95" i="2" a="1"/>
  <c r="M95" i="2" l="1"/>
  <c r="L95" i="2" a="1"/>
  <c r="L95" i="2" l="1"/>
  <c r="K95" i="2" a="1"/>
  <c r="K95" i="2" l="1"/>
  <c r="J95" i="2" a="1"/>
  <c r="J95" i="2" l="1"/>
  <c r="I95" i="2" a="1"/>
  <c r="I95" i="2" l="1"/>
  <c r="H95" i="2" a="1"/>
  <c r="H95" i="2" l="1"/>
  <c r="G95" i="2" a="1"/>
  <c r="G95" i="2" l="1"/>
  <c r="F95" i="2" a="1"/>
  <c r="F95" i="2" l="1"/>
  <c r="E95" i="2" a="1"/>
  <c r="E95" i="2" l="1"/>
  <c r="D95" i="2" a="1"/>
  <c r="D95" i="2" l="1"/>
  <c r="C95" i="2" a="1"/>
  <c r="C95" i="2" l="1"/>
  <c r="N93" i="2" a="1"/>
  <c r="N93" i="2" l="1"/>
  <c r="M93" i="2" a="1"/>
  <c r="M93" i="2" l="1"/>
  <c r="L93" i="2" a="1"/>
  <c r="L93" i="2" l="1"/>
  <c r="K93" i="2" a="1"/>
  <c r="K93" i="2" l="1"/>
  <c r="J93" i="2" a="1"/>
  <c r="J93" i="2" l="1"/>
  <c r="I93" i="2" a="1"/>
  <c r="I93" i="2" l="1"/>
  <c r="H93" i="2" a="1"/>
  <c r="H93" i="2" l="1"/>
  <c r="G93" i="2" a="1"/>
  <c r="G93" i="2" l="1"/>
  <c r="F93" i="2" a="1"/>
  <c r="F93" i="2" l="1"/>
  <c r="E93" i="2" a="1"/>
  <c r="E93" i="2" l="1"/>
  <c r="D93" i="2" a="1"/>
  <c r="D93" i="2" l="1"/>
  <c r="C93" i="2" a="1"/>
  <c r="C93" i="2" l="1"/>
  <c r="N91" i="2" a="1"/>
  <c r="N91" i="2" l="1"/>
  <c r="M91" i="2" a="1"/>
  <c r="M91" i="2" l="1"/>
  <c r="L91" i="2" a="1"/>
  <c r="L91" i="2" l="1"/>
  <c r="K91" i="2" a="1"/>
  <c r="K91" i="2" l="1"/>
  <c r="J91" i="2" a="1"/>
  <c r="J91" i="2" l="1"/>
  <c r="I91" i="2" a="1"/>
  <c r="I91" i="2" l="1"/>
  <c r="H91" i="2" a="1"/>
  <c r="H91" i="2" l="1"/>
  <c r="G91" i="2" a="1"/>
  <c r="G91" i="2" l="1"/>
  <c r="F91" i="2" a="1"/>
  <c r="F91" i="2" l="1"/>
  <c r="E91" i="2" a="1"/>
  <c r="E91" i="2" l="1"/>
  <c r="D91" i="2" a="1"/>
  <c r="D91" i="2" l="1"/>
  <c r="C91" i="2" a="1"/>
  <c r="C91" i="2" l="1"/>
  <c r="N86" i="2" a="1"/>
  <c r="N86" i="2" l="1"/>
  <c r="M86" i="2" a="1"/>
  <c r="M86" i="2" l="1"/>
  <c r="L86" i="2" a="1"/>
  <c r="L86" i="2" l="1"/>
  <c r="K86" i="2" a="1"/>
  <c r="K86" i="2" l="1"/>
  <c r="J86" i="2" a="1"/>
  <c r="J86" i="2" l="1"/>
  <c r="I86" i="2" a="1"/>
  <c r="I86" i="2" l="1"/>
  <c r="H86" i="2" a="1"/>
  <c r="H86" i="2" l="1"/>
  <c r="G86" i="2" a="1"/>
  <c r="G86" i="2" l="1"/>
  <c r="F86" i="2" a="1"/>
  <c r="F86" i="2" l="1"/>
  <c r="E86" i="2" a="1"/>
  <c r="E86" i="2" l="1"/>
  <c r="D86" i="2" a="1"/>
  <c r="D86" i="2" l="1"/>
  <c r="C86" i="2" a="1"/>
  <c r="C86" i="2" l="1"/>
  <c r="N85" i="2" a="1"/>
  <c r="N85" i="2" l="1"/>
  <c r="M85" i="2" a="1"/>
  <c r="M85" i="2" l="1"/>
  <c r="L85" i="2" a="1"/>
  <c r="L85" i="2" l="1"/>
  <c r="K85" i="2" a="1"/>
  <c r="K85" i="2" l="1"/>
  <c r="J85" i="2" a="1"/>
  <c r="J85" i="2" l="1"/>
  <c r="I85" i="2" a="1"/>
  <c r="I85" i="2" l="1"/>
  <c r="H85" i="2" a="1"/>
  <c r="H85" i="2" l="1"/>
  <c r="G85" i="2" a="1"/>
  <c r="G85" i="2" l="1"/>
  <c r="F85" i="2" a="1"/>
  <c r="F85" i="2" l="1"/>
  <c r="E85" i="2" a="1"/>
  <c r="E85" i="2" l="1"/>
  <c r="D85" i="2" a="1"/>
  <c r="D85" i="2" l="1"/>
  <c r="C85" i="2" a="1"/>
  <c r="C85" i="2" l="1"/>
  <c r="N78" i="2" a="1"/>
  <c r="N78" i="2" l="1"/>
  <c r="M78" i="2" a="1"/>
  <c r="M78" i="2" l="1"/>
  <c r="L78" i="2" a="1"/>
  <c r="L78" i="2" l="1"/>
  <c r="K78" i="2" a="1"/>
  <c r="K78" i="2" l="1"/>
  <c r="J78" i="2" a="1"/>
  <c r="J78" i="2" l="1"/>
  <c r="I78" i="2" a="1"/>
  <c r="I78" i="2" l="1"/>
  <c r="H78" i="2" a="1"/>
  <c r="H78" i="2" l="1"/>
  <c r="G78" i="2" a="1"/>
  <c r="G78" i="2" l="1"/>
  <c r="F78" i="2" a="1"/>
  <c r="F78" i="2" l="1"/>
  <c r="E78" i="2" a="1"/>
  <c r="E78" i="2" l="1"/>
  <c r="D78" i="2" a="1"/>
  <c r="D78" i="2" l="1"/>
  <c r="C78" i="2" a="1"/>
  <c r="C78" i="2" l="1"/>
  <c r="N74" i="2" a="1"/>
  <c r="N74" i="2" l="1"/>
  <c r="M74" i="2" a="1"/>
  <c r="M74" i="2" l="1"/>
  <c r="L74" i="2" a="1"/>
  <c r="L74" i="2" l="1"/>
  <c r="K74" i="2" a="1"/>
  <c r="K74" i="2" l="1"/>
  <c r="J74" i="2" a="1"/>
  <c r="J74" i="2" l="1"/>
  <c r="I74" i="2" a="1"/>
  <c r="I74" i="2" l="1"/>
  <c r="H74" i="2" a="1"/>
  <c r="H74" i="2" l="1"/>
  <c r="G74" i="2" a="1"/>
  <c r="G74" i="2" l="1"/>
  <c r="F74" i="2" a="1"/>
  <c r="F74" i="2" l="1"/>
  <c r="E74" i="2" a="1"/>
  <c r="E74" i="2" l="1"/>
  <c r="D74" i="2" a="1"/>
  <c r="D74" i="2" l="1"/>
  <c r="C74" i="2" a="1"/>
  <c r="C74" i="2" l="1"/>
  <c r="N42" i="2" a="1"/>
  <c r="N42" i="2" l="1"/>
  <c r="M42" i="2" a="1"/>
  <c r="M42" i="2" l="1"/>
  <c r="L42" i="2" a="1"/>
  <c r="L42" i="2" l="1"/>
  <c r="K42" i="2" a="1"/>
  <c r="K42" i="2" l="1"/>
  <c r="J42" i="2" a="1"/>
  <c r="J42" i="2" l="1"/>
  <c r="I42" i="2" a="1"/>
  <c r="I42" i="2" l="1"/>
  <c r="H42" i="2" a="1"/>
  <c r="H42" i="2" l="1"/>
  <c r="G42" i="2" a="1"/>
  <c r="G42" i="2" l="1"/>
  <c r="F42" i="2" a="1"/>
  <c r="F42" i="2" l="1"/>
  <c r="E42" i="2" a="1"/>
  <c r="E42" i="2" l="1"/>
  <c r="D42" i="2" a="1"/>
  <c r="D42" i="2" l="1"/>
  <c r="C42" i="2" a="1"/>
  <c r="C42" i="2" l="1"/>
  <c r="N38" i="2" a="1"/>
  <c r="N38" i="2" l="1"/>
  <c r="M38" i="2" a="1"/>
  <c r="M38" i="2" l="1"/>
  <c r="L38" i="2" a="1"/>
  <c r="L38" i="2" l="1"/>
  <c r="K38" i="2" a="1"/>
  <c r="K38" i="2" l="1"/>
  <c r="J38" i="2" a="1"/>
  <c r="J38" i="2" l="1"/>
  <c r="I38" i="2" a="1"/>
  <c r="I38" i="2" l="1"/>
  <c r="H38" i="2" a="1"/>
  <c r="H38" i="2" l="1"/>
  <c r="G38" i="2" a="1"/>
  <c r="G38" i="2" l="1"/>
  <c r="F38" i="2" a="1"/>
  <c r="F38" i="2" l="1"/>
  <c r="E38" i="2" a="1"/>
  <c r="E38" i="2" l="1"/>
  <c r="D38" i="2" a="1"/>
  <c r="D38" i="2" l="1"/>
  <c r="C38" i="2" a="1"/>
  <c r="C38" i="2" l="1"/>
  <c r="N36" i="2" a="1"/>
  <c r="N36" i="2" l="1"/>
  <c r="M36" i="2" a="1"/>
  <c r="M36" i="2" l="1"/>
  <c r="L36" i="2" a="1"/>
  <c r="L36" i="2" l="1"/>
  <c r="K36" i="2" a="1"/>
  <c r="K36" i="2" l="1"/>
  <c r="J36" i="2" a="1"/>
  <c r="J36" i="2" l="1"/>
  <c r="I36" i="2" a="1"/>
  <c r="I36" i="2" l="1"/>
  <c r="H36" i="2" a="1"/>
  <c r="H36" i="2" l="1"/>
  <c r="G36" i="2" a="1"/>
  <c r="G36" i="2" l="1"/>
  <c r="F36" i="2" a="1"/>
  <c r="F36" i="2" l="1"/>
  <c r="E36" i="2" a="1"/>
  <c r="E36" i="2" l="1"/>
  <c r="D36" i="2" a="1"/>
  <c r="D36" i="2" l="1"/>
  <c r="C36" i="2" a="1"/>
  <c r="C36" i="2" l="1"/>
  <c r="N31" i="2" a="1"/>
  <c r="N31" i="2" l="1"/>
  <c r="M31" i="2" a="1"/>
  <c r="M31" i="2" l="1"/>
  <c r="L31" i="2" a="1"/>
  <c r="L31" i="2" l="1"/>
  <c r="K31" i="2" a="1"/>
  <c r="K31" i="2" l="1"/>
  <c r="J31" i="2" a="1"/>
  <c r="J31" i="2" l="1"/>
  <c r="I31" i="2" a="1"/>
  <c r="I31" i="2" l="1"/>
  <c r="H31" i="2" a="1"/>
  <c r="H31" i="2" l="1"/>
  <c r="G31" i="2" a="1"/>
  <c r="G31" i="2" l="1"/>
  <c r="F31" i="2" a="1"/>
  <c r="F31" i="2" l="1"/>
  <c r="E31" i="2" a="1"/>
  <c r="E31" i="2" l="1"/>
  <c r="D31" i="2" a="1"/>
  <c r="D31" i="2" l="1"/>
  <c r="C31" i="2" a="1"/>
  <c r="C31" i="2" l="1"/>
  <c r="N29" i="2" a="1"/>
  <c r="N29" i="2" l="1"/>
  <c r="M29" i="2" a="1"/>
  <c r="M29" i="2" l="1"/>
  <c r="L29" i="2" a="1"/>
  <c r="L29" i="2" l="1"/>
  <c r="K29" i="2" a="1"/>
  <c r="K29" i="2" l="1"/>
  <c r="J29" i="2" a="1"/>
  <c r="J29" i="2" l="1"/>
  <c r="I29" i="2" a="1"/>
  <c r="I29" i="2" l="1"/>
  <c r="H29" i="2" a="1"/>
  <c r="H29" i="2" l="1"/>
  <c r="G29" i="2" a="1"/>
  <c r="G29" i="2" l="1"/>
  <c r="F29" i="2" a="1"/>
  <c r="F29" i="2" l="1"/>
  <c r="E29" i="2" a="1"/>
  <c r="E29" i="2" l="1"/>
  <c r="D29" i="2" a="1"/>
  <c r="D29" i="2" l="1"/>
  <c r="C29" i="2" a="1"/>
  <c r="C29" i="2" l="1"/>
  <c r="N21" i="2" a="1"/>
  <c r="N21" i="2" l="1"/>
  <c r="M21" i="2" a="1"/>
  <c r="M21" i="2" l="1"/>
  <c r="L21" i="2" a="1"/>
  <c r="L21" i="2" l="1"/>
  <c r="K21" i="2" a="1"/>
  <c r="K21" i="2" l="1"/>
  <c r="J21" i="2" a="1"/>
  <c r="J21" i="2" l="1"/>
  <c r="I21" i="2" a="1"/>
  <c r="I21" i="2" l="1"/>
  <c r="H21" i="2" a="1"/>
  <c r="H21" i="2" l="1"/>
  <c r="G21" i="2" a="1"/>
  <c r="G21" i="2" l="1"/>
  <c r="F21" i="2" a="1"/>
  <c r="F21" i="2" l="1"/>
  <c r="E21" i="2" a="1"/>
  <c r="E21" i="2" l="1"/>
  <c r="D21" i="2" a="1"/>
  <c r="D21" i="2" l="1"/>
  <c r="C21" i="2" a="1"/>
  <c r="C21" i="2" l="1"/>
  <c r="N20" i="2" a="1"/>
  <c r="N20" i="2" l="1"/>
  <c r="M20" i="2" a="1"/>
  <c r="M20" i="2" l="1"/>
  <c r="L20" i="2" a="1"/>
  <c r="L20" i="2" l="1"/>
  <c r="K20" i="2" a="1"/>
  <c r="K20" i="2" l="1"/>
  <c r="J20" i="2" a="1"/>
  <c r="J20" i="2" l="1"/>
  <c r="I20" i="2" a="1"/>
  <c r="I20" i="2" l="1"/>
  <c r="H20" i="2" a="1"/>
  <c r="H20" i="2" l="1"/>
  <c r="G20" i="2" a="1"/>
  <c r="G20" i="2" l="1"/>
  <c r="F20" i="2" a="1"/>
  <c r="F20" i="2" l="1"/>
  <c r="E20" i="2" a="1"/>
  <c r="E20" i="2" l="1"/>
  <c r="D20" i="2" a="1"/>
  <c r="D20" i="2" l="1"/>
  <c r="C20" i="2" a="1"/>
  <c r="C20" i="2" l="1"/>
  <c r="A3" i="1" a="1"/>
  <c r="J31" i="1" a="1"/>
  <c r="A3" i="1" l="1"/>
  <c r="J31" i="1"/>
  <c r="P8" i="1" a="1"/>
  <c r="P8" i="1" l="1"/>
  <c r="O21" i="1" a="1"/>
  <c r="O21" i="1"/>
  <c r="M29" i="1" a="1"/>
  <c r="M29" i="1"/>
  <c r="G38" i="1" a="1"/>
  <c r="G38" i="1"/>
  <c r="I8" i="1" a="1"/>
  <c r="I8" i="1"/>
  <c r="H31" i="1" a="1"/>
  <c r="H31" i="1"/>
  <c r="K8" i="1" a="1"/>
  <c r="K8" i="1"/>
  <c r="F35" i="1" a="1"/>
  <c r="F35" i="1"/>
  <c r="K41" i="1" a="1"/>
  <c r="K41" i="1"/>
  <c r="E35" i="1" a="1"/>
  <c r="E35" i="1"/>
  <c r="F38" i="1" a="1"/>
  <c r="F38" i="1"/>
  <c r="L29" i="1" a="1"/>
  <c r="L29" i="1"/>
  <c r="O38" i="1" a="1"/>
  <c r="O38" i="1"/>
  <c r="N8" i="1" a="1"/>
  <c r="N8" i="1"/>
  <c r="N31" i="1" a="1"/>
  <c r="N31" i="1"/>
  <c r="F21" i="1" a="1"/>
  <c r="F21" i="1"/>
  <c r="M41" i="1" a="1"/>
  <c r="M41" i="1"/>
  <c r="O8" i="1" a="1"/>
  <c r="O8" i="1"/>
  <c r="I38" i="1" a="1"/>
  <c r="I38" i="1"/>
  <c r="L31" i="1" a="1"/>
  <c r="L31" i="1"/>
  <c r="K35" i="1" a="1"/>
  <c r="K35" i="1"/>
  <c r="M40" i="1" a="1"/>
  <c r="M40" i="1"/>
  <c r="H38" i="1" a="1"/>
  <c r="H38" i="1"/>
  <c r="J35" i="1" a="1"/>
  <c r="J35" i="1"/>
  <c r="I41" i="1" a="1"/>
  <c r="I41" i="1"/>
  <c r="G21" i="1" a="1"/>
  <c r="G21" i="1"/>
  <c r="I29" i="1" a="1"/>
  <c r="I29" i="1"/>
  <c r="I31" i="1" a="1"/>
  <c r="I31" i="1"/>
  <c r="J29" i="1" a="1"/>
  <c r="J29" i="1"/>
  <c r="L21" i="1" a="1"/>
  <c r="L21" i="1"/>
  <c r="G32" i="1" a="1"/>
  <c r="G32" i="1"/>
  <c r="P9" i="1" a="1"/>
  <c r="P9" i="1"/>
  <c r="E29" i="1" a="1"/>
  <c r="E29" i="1"/>
  <c r="O29" i="1" a="1"/>
  <c r="O29" i="1"/>
  <c r="O32" i="1" a="1"/>
  <c r="O32" i="1"/>
  <c r="H32" i="1" a="1"/>
  <c r="H32" i="1"/>
  <c r="G9" i="1" a="1"/>
  <c r="G9" i="1"/>
  <c r="J40" i="1" a="1"/>
  <c r="J40" i="1"/>
  <c r="K40" i="1" a="1"/>
  <c r="K40" i="1"/>
  <c r="P35" i="1" a="1"/>
  <c r="P35" i="1"/>
  <c r="H40" i="1" a="1"/>
  <c r="H40" i="1"/>
  <c r="I32" i="1" a="1"/>
  <c r="I32" i="1"/>
  <c r="G40" i="1" a="1"/>
  <c r="G40" i="1"/>
  <c r="E8" i="1" a="1"/>
  <c r="E8" i="1"/>
  <c r="I40" i="1" a="1"/>
  <c r="I40" i="1"/>
  <c r="I9" i="1" a="1"/>
  <c r="I9" i="1"/>
  <c r="M38" i="1" a="1"/>
  <c r="M38" i="1"/>
  <c r="F40" i="1" a="1"/>
  <c r="F40" i="1"/>
  <c r="H21" i="1" a="1"/>
  <c r="H21" i="1"/>
  <c r="O40" i="1" a="1"/>
  <c r="O40" i="1"/>
  <c r="F31" i="1" a="1"/>
  <c r="F31" i="1"/>
  <c r="G35" i="1" a="1"/>
  <c r="G35" i="1"/>
  <c r="K9" i="1" a="1"/>
  <c r="K9" i="1"/>
  <c r="N32" i="1" a="1"/>
  <c r="N32" i="1"/>
  <c r="E31" i="1" a="1"/>
  <c r="E31" i="1"/>
  <c r="E32" i="1" a="1"/>
  <c r="E32" i="1"/>
  <c r="M35" i="1" a="1"/>
  <c r="M35" i="1"/>
  <c r="L41" i="1" a="1"/>
  <c r="L41" i="1"/>
  <c r="G8" i="1" a="1"/>
  <c r="G8" i="1"/>
  <c r="F32" i="1" a="1"/>
  <c r="F32" i="1"/>
  <c r="N35" i="1" a="1"/>
  <c r="N35" i="1"/>
  <c r="N38" i="1" a="1"/>
  <c r="N38" i="1"/>
  <c r="O41" i="1" a="1"/>
  <c r="O41" i="1"/>
  <c r="M9" i="1" a="1"/>
  <c r="M9" i="1"/>
  <c r="K21" i="1" a="1"/>
  <c r="K21" i="1"/>
  <c r="H9" i="1" a="1"/>
  <c r="H9" i="1"/>
  <c r="E38" i="1" a="1"/>
  <c r="E38" i="1"/>
  <c r="J8" i="1" a="1"/>
  <c r="J8" i="1"/>
  <c r="P41" i="1" a="1"/>
  <c r="P41" i="1"/>
  <c r="P21" i="1" a="1"/>
  <c r="P21" i="1"/>
  <c r="L9" i="1" a="1"/>
  <c r="L9" i="1"/>
  <c r="N40" i="1" a="1"/>
  <c r="N40" i="1"/>
  <c r="I35" i="1" a="1"/>
  <c r="I35" i="1"/>
  <c r="E9" i="1" a="1"/>
  <c r="E9" i="1"/>
  <c r="H35" i="1" a="1"/>
  <c r="H35" i="1"/>
  <c r="O31" i="1" a="1"/>
  <c r="O31" i="1"/>
  <c r="M21" i="1" a="1"/>
  <c r="M21" i="1"/>
  <c r="H8" i="1" a="1"/>
  <c r="H8" i="1"/>
  <c r="K32" i="1" a="1"/>
  <c r="K32" i="1"/>
  <c r="M32" i="1" a="1"/>
  <c r="M32" i="1"/>
  <c r="M8" i="1" a="1"/>
  <c r="M8" i="1"/>
  <c r="K31" i="1" a="1"/>
  <c r="K31" i="1"/>
  <c r="E40" i="1" a="1"/>
  <c r="E40" i="1"/>
  <c r="L35" i="1" a="1"/>
  <c r="L35" i="1"/>
  <c r="J32" i="1" a="1"/>
  <c r="J32" i="1"/>
  <c r="L8" i="1" a="1"/>
  <c r="L8" i="1"/>
  <c r="F9" i="1" a="1"/>
  <c r="F9" i="1"/>
  <c r="L32" i="1" a="1"/>
  <c r="L32" i="1"/>
  <c r="M31" i="1" a="1"/>
  <c r="M31" i="1"/>
  <c r="E21" i="1" a="1"/>
  <c r="E21" i="1"/>
  <c r="P29" i="1" a="1"/>
  <c r="P29" i="1"/>
  <c r="H29" i="1" a="1"/>
  <c r="H29" i="1"/>
  <c r="J38" i="1" a="1"/>
  <c r="J38" i="1"/>
  <c r="K29" i="1" a="1"/>
  <c r="K29" i="1"/>
  <c r="G29" i="1" a="1"/>
  <c r="G29" i="1"/>
  <c r="L40" i="1" a="1"/>
  <c r="L40" i="1"/>
  <c r="J41" i="1" a="1"/>
  <c r="J41" i="1"/>
  <c r="N9" i="1" a="1"/>
  <c r="N9" i="1"/>
  <c r="N21" i="1" a="1"/>
  <c r="N21" i="1"/>
  <c r="F29" i="1" a="1"/>
  <c r="F29" i="1"/>
  <c r="K38" i="1" a="1"/>
  <c r="K38" i="1"/>
  <c r="H41" i="1" a="1"/>
  <c r="H41" i="1"/>
  <c r="O9" i="1" a="1"/>
  <c r="O9" i="1"/>
  <c r="N41" i="1" a="1"/>
  <c r="N41" i="1"/>
  <c r="N29" i="1" a="1"/>
  <c r="N29" i="1"/>
  <c r="O35" i="1" a="1"/>
  <c r="O35" i="1"/>
  <c r="J21" i="1" a="1"/>
  <c r="J21" i="1"/>
  <c r="L38" i="1" a="1"/>
  <c r="L38" i="1"/>
  <c r="P38" i="1" a="1"/>
  <c r="P38" i="1"/>
  <c r="F8" i="1" a="1"/>
  <c r="F8" i="1"/>
  <c r="F41" i="1" a="1"/>
  <c r="F41" i="1"/>
  <c r="P31" i="1" a="1"/>
  <c r="P31" i="1"/>
  <c r="J9" i="1" a="1"/>
  <c r="J9" i="1"/>
  <c r="P40" i="1" a="1"/>
  <c r="P40" i="1"/>
  <c r="I21" i="1" a="1"/>
  <c r="I21" i="1"/>
  <c r="G41" i="1" a="1"/>
  <c r="G41" i="1"/>
  <c r="E41" i="1" a="1"/>
  <c r="E41" i="1"/>
  <c r="G31" i="1" a="1"/>
  <c r="G31" i="1"/>
  <c r="P32" i="1" a="1"/>
  <c r="P32" i="1"/>
  <c r="F7" i="1" a="1"/>
  <c r="F7" i="1"/>
  <c r="O7" i="1" a="1"/>
  <c r="O7" i="1"/>
  <c r="I19" i="1" a="1"/>
  <c r="I19" i="1"/>
  <c r="E13" i="1" a="1"/>
  <c r="E13" i="1"/>
  <c r="H6" i="1" a="1"/>
  <c r="H6" i="1"/>
  <c r="P19" i="1" a="1"/>
  <c r="P19" i="1"/>
  <c r="N16" i="1" a="1"/>
  <c r="N16" i="1"/>
  <c r="H13" i="1" a="1"/>
  <c r="H13" i="1"/>
  <c r="J13" i="1" a="1"/>
  <c r="J13" i="1"/>
  <c r="N7" i="1" a="1"/>
  <c r="N7" i="1"/>
  <c r="F25" i="1" a="1"/>
  <c r="F25" i="1"/>
  <c r="K20" i="1" a="1"/>
  <c r="K20" i="1"/>
  <c r="F13" i="1" a="1"/>
  <c r="F13" i="1"/>
  <c r="J25" i="1" a="1"/>
  <c r="J25" i="1"/>
  <c r="M13" i="1" a="1"/>
  <c r="M13" i="1"/>
  <c r="K7" i="1" a="1"/>
  <c r="K7" i="1"/>
  <c r="H20" i="1" a="1"/>
  <c r="H20" i="1"/>
  <c r="P16" i="1" a="1"/>
  <c r="P16" i="1"/>
  <c r="P7" i="1" a="1"/>
  <c r="P7" i="1"/>
  <c r="H25" i="1" a="1"/>
  <c r="H25" i="1"/>
  <c r="P25" i="1" a="1"/>
  <c r="P25" i="1"/>
  <c r="H19" i="1" a="1"/>
  <c r="H19" i="1"/>
  <c r="L7" i="1" a="1"/>
  <c r="L7" i="1"/>
  <c r="L19" i="1" a="1"/>
  <c r="L19" i="1"/>
  <c r="M7" i="1" a="1"/>
  <c r="M7" i="1"/>
  <c r="G16" i="1" a="1"/>
  <c r="G16" i="1"/>
  <c r="E4" i="1" a="1"/>
  <c r="E4" i="1"/>
  <c r="O16" i="1" a="1"/>
  <c r="O16" i="1"/>
  <c r="L16" i="1" a="1"/>
  <c r="L16" i="1"/>
  <c r="J19" i="1" a="1"/>
  <c r="J19" i="1"/>
  <c r="O4" i="1" a="1"/>
  <c r="O4" i="1"/>
  <c r="I16" i="1" a="1"/>
  <c r="I16" i="1"/>
  <c r="K19" i="1" a="1"/>
  <c r="K19" i="1"/>
  <c r="N20" i="1" a="1"/>
  <c r="N20" i="1"/>
  <c r="E25" i="1" a="1"/>
  <c r="E25" i="1"/>
  <c r="H4" i="1" a="1"/>
  <c r="H4" i="1"/>
  <c r="G6" i="1" a="1"/>
  <c r="G6" i="1"/>
  <c r="O20" i="1" a="1"/>
  <c r="O20" i="1"/>
  <c r="P20" i="1" a="1"/>
  <c r="P20" i="1"/>
  <c r="M20" i="1" a="1"/>
  <c r="M20" i="1"/>
  <c r="I25" i="1" a="1"/>
  <c r="I25" i="1"/>
  <c r="M19" i="1" a="1"/>
  <c r="M19" i="1"/>
  <c r="L20" i="1" a="1"/>
  <c r="L20" i="1"/>
  <c r="I20" i="1" a="1"/>
  <c r="I20" i="1"/>
  <c r="E19" i="1" a="1"/>
  <c r="E19" i="1"/>
  <c r="I4" i="1" a="1"/>
  <c r="I4" i="1"/>
  <c r="G25" i="1" a="1"/>
  <c r="G25" i="1"/>
  <c r="F6" i="1" a="1"/>
  <c r="F6" i="1"/>
  <c r="E20" i="1" a="1"/>
  <c r="E20" i="1"/>
  <c r="P6" i="1" a="1"/>
  <c r="P6" i="1"/>
  <c r="M4" i="1" a="1"/>
  <c r="M4" i="1"/>
  <c r="G13" i="1" a="1"/>
  <c r="G13" i="1"/>
  <c r="K4" i="1" a="1"/>
  <c r="K4" i="1"/>
  <c r="I13" i="1" a="1"/>
  <c r="I13" i="1"/>
  <c r="F4" i="1" a="1"/>
  <c r="F4" i="1"/>
  <c r="L13" i="1" a="1"/>
  <c r="L13" i="1"/>
  <c r="O13" i="1" a="1"/>
  <c r="O13" i="1"/>
  <c r="M16" i="1" a="1"/>
  <c r="M16" i="1"/>
  <c r="I7" i="1" a="1"/>
  <c r="I7" i="1"/>
  <c r="O19" i="1" a="1"/>
  <c r="O19" i="1"/>
  <c r="L4" i="1" a="1"/>
  <c r="L4" i="1"/>
  <c r="J4" i="1" a="1"/>
  <c r="J4" i="1"/>
  <c r="I6" i="1" a="1"/>
  <c r="I6" i="1"/>
  <c r="K13" i="1" a="1"/>
  <c r="K13" i="1"/>
  <c r="J6" i="1" a="1"/>
  <c r="J6" i="1"/>
  <c r="J7" i="1" a="1"/>
  <c r="J7" i="1"/>
  <c r="G4" i="1" a="1"/>
  <c r="G4" i="1"/>
  <c r="N6" i="1" a="1"/>
  <c r="N6" i="1"/>
  <c r="N25" i="1" a="1"/>
  <c r="N25" i="1"/>
  <c r="L25" i="1" a="1"/>
  <c r="L25" i="1"/>
  <c r="K16" i="1" a="1"/>
  <c r="K16" i="1"/>
  <c r="N19" i="1" a="1"/>
  <c r="N19" i="1"/>
  <c r="P4" i="1" a="1"/>
  <c r="P4" i="1"/>
  <c r="G19" i="1" a="1"/>
  <c r="G19" i="1"/>
  <c r="K6" i="1" a="1"/>
  <c r="K6" i="1"/>
  <c r="H16" i="1" a="1"/>
  <c r="H16" i="1"/>
  <c r="J20" i="1" a="1"/>
  <c r="J20" i="1"/>
  <c r="F20" i="1" a="1"/>
  <c r="F20" i="1"/>
  <c r="F16" i="1" a="1"/>
  <c r="F16" i="1"/>
  <c r="O25" i="1" a="1"/>
  <c r="O25" i="1"/>
  <c r="O6" i="1" a="1"/>
  <c r="O6" i="1"/>
  <c r="K25" i="1" a="1"/>
  <c r="K25" i="1"/>
  <c r="E6" i="1" a="1"/>
  <c r="E6" i="1"/>
  <c r="P13" i="1" a="1"/>
  <c r="P13" i="1"/>
  <c r="F19" i="1" a="1"/>
  <c r="F19" i="1"/>
  <c r="M25" i="1" a="1"/>
  <c r="M25" i="1"/>
  <c r="E7" i="1" a="1"/>
  <c r="E7" i="1"/>
  <c r="G20" i="1" a="1"/>
  <c r="G20" i="1"/>
  <c r="N4" i="1" a="1"/>
  <c r="N4" i="1"/>
  <c r="N13" i="1" a="1"/>
  <c r="N13" i="1"/>
  <c r="L6" i="1" a="1"/>
  <c r="L6" i="1"/>
  <c r="M6" i="1" a="1"/>
  <c r="M6" i="1"/>
  <c r="G7" i="1" a="1"/>
  <c r="G7" i="1"/>
  <c r="E16" i="1" a="1"/>
  <c r="E16" i="1"/>
  <c r="J16" i="1" a="1"/>
  <c r="J16" i="1"/>
  <c r="H7" i="1" a="1"/>
  <c r="H7" i="1"/>
  <c r="M10" i="1" a="1"/>
  <c r="M10" i="1"/>
  <c r="L15" i="1" a="1"/>
  <c r="L15" i="1"/>
  <c r="H17" i="1" a="1"/>
  <c r="H17" i="1"/>
  <c r="E15" i="1" a="1"/>
  <c r="E15" i="1"/>
  <c r="J17" i="1" a="1"/>
  <c r="J17" i="1"/>
  <c r="K10" i="1" a="1"/>
  <c r="K10" i="1"/>
  <c r="J10" i="1" a="1"/>
  <c r="J10" i="1"/>
  <c r="I22" i="1" a="1"/>
  <c r="I22" i="1"/>
  <c r="L11" i="1" a="1"/>
  <c r="L11" i="1"/>
  <c r="K15" i="1" a="1"/>
  <c r="K15" i="1"/>
  <c r="J11" i="1" a="1"/>
  <c r="J11" i="1"/>
  <c r="G37" i="1" a="1"/>
  <c r="G37" i="1"/>
  <c r="N37" i="1" a="1"/>
  <c r="N37" i="1"/>
  <c r="I15" i="1" a="1"/>
  <c r="I15" i="1"/>
  <c r="H22" i="1" a="1"/>
  <c r="H22" i="1"/>
  <c r="J34" i="1" a="1"/>
  <c r="J34" i="1"/>
  <c r="E10" i="1" a="1"/>
  <c r="E10" i="1"/>
  <c r="N26" i="1" a="1"/>
  <c r="N26" i="1"/>
  <c r="I34" i="1" a="1"/>
  <c r="I34" i="1"/>
  <c r="H26" i="1" a="1"/>
  <c r="H26" i="1"/>
  <c r="E12" i="1" a="1"/>
  <c r="E12" i="1"/>
  <c r="O26" i="1" a="1"/>
  <c r="O26" i="1"/>
  <c r="J26" i="1" a="1"/>
  <c r="J26" i="1"/>
  <c r="F12" i="1" a="1"/>
  <c r="F12" i="1"/>
  <c r="H15" i="1" a="1"/>
  <c r="H15" i="1"/>
  <c r="K26" i="1" a="1"/>
  <c r="K26" i="1"/>
  <c r="L37" i="1" a="1"/>
  <c r="L37" i="1"/>
  <c r="E30" i="1" a="1"/>
  <c r="E30" i="1"/>
  <c r="I11" i="1" a="1"/>
  <c r="I11" i="1"/>
  <c r="M26" i="1" a="1"/>
  <c r="M26" i="1"/>
  <c r="F37" i="1" a="1"/>
  <c r="F37" i="1"/>
  <c r="K17" i="1" a="1"/>
  <c r="K17" i="1"/>
  <c r="G12" i="1" a="1"/>
  <c r="G12" i="1"/>
  <c r="N34" i="1" a="1"/>
  <c r="N34" i="1"/>
  <c r="H37" i="1" a="1"/>
  <c r="H37" i="1"/>
  <c r="F11" i="1" a="1"/>
  <c r="F11" i="1"/>
  <c r="G30" i="1" a="1"/>
  <c r="G30" i="1"/>
  <c r="L26" i="1" a="1"/>
  <c r="L26" i="1"/>
  <c r="P22" i="1" a="1"/>
  <c r="P22" i="1"/>
  <c r="O12" i="1" a="1"/>
  <c r="O12" i="1"/>
  <c r="P10" i="1" a="1"/>
  <c r="P10" i="1"/>
  <c r="F10" i="1" a="1"/>
  <c r="F10" i="1"/>
  <c r="G11" i="1" a="1"/>
  <c r="G11" i="1"/>
  <c r="P34" i="1" a="1"/>
  <c r="P34" i="1"/>
  <c r="J12" i="1" a="1"/>
  <c r="J12" i="1"/>
  <c r="N12" i="1" a="1"/>
  <c r="N12" i="1"/>
  <c r="O22" i="1" a="1"/>
  <c r="O22" i="1"/>
  <c r="M22" i="1" a="1"/>
  <c r="M22" i="1"/>
  <c r="H30" i="1" a="1"/>
  <c r="H30" i="1"/>
  <c r="P17" i="1" a="1"/>
  <c r="P17" i="1"/>
  <c r="K12" i="1" a="1"/>
  <c r="K12" i="1"/>
  <c r="P37" i="1" a="1"/>
  <c r="P37" i="1"/>
  <c r="P15" i="1" a="1"/>
  <c r="P15" i="1"/>
  <c r="J37" i="1" a="1"/>
  <c r="J37" i="1"/>
  <c r="O11" i="1" a="1"/>
  <c r="O11" i="1"/>
  <c r="F34" i="1" a="1"/>
  <c r="F34" i="1"/>
  <c r="K30" i="1" a="1"/>
  <c r="K30" i="1"/>
  <c r="E11" i="1" a="1"/>
  <c r="E11" i="1"/>
  <c r="N17" i="1" a="1"/>
  <c r="N17" i="1"/>
  <c r="O17" i="1" a="1"/>
  <c r="O17" i="1"/>
  <c r="J15" i="1" a="1"/>
  <c r="J15" i="1"/>
  <c r="N15" i="1" a="1"/>
  <c r="N15" i="1"/>
  <c r="E22" i="1" a="1"/>
  <c r="E22" i="1"/>
  <c r="F30" i="1" a="1"/>
  <c r="F30" i="1"/>
  <c r="K37" i="1" a="1"/>
  <c r="K37" i="1"/>
  <c r="I30" i="1" a="1"/>
  <c r="I30" i="1"/>
  <c r="L10" i="1" a="1"/>
  <c r="L10" i="1"/>
  <c r="H10" i="1" a="1"/>
  <c r="H10" i="1"/>
  <c r="M12" i="1" a="1"/>
  <c r="M12" i="1"/>
  <c r="E37" i="1" a="1"/>
  <c r="E37" i="1"/>
  <c r="E26" i="1" a="1"/>
  <c r="E26" i="1"/>
  <c r="H12" i="1" a="1"/>
  <c r="H12" i="1"/>
  <c r="J30" i="1" a="1"/>
  <c r="J30" i="1"/>
  <c r="P30" i="1" a="1"/>
  <c r="P30" i="1"/>
  <c r="N22" i="1" a="1"/>
  <c r="N22" i="1"/>
  <c r="M11" i="1" a="1"/>
  <c r="M11" i="1"/>
  <c r="L30" i="1" a="1"/>
  <c r="L30" i="1"/>
  <c r="F17" i="1" a="1"/>
  <c r="F17" i="1"/>
  <c r="M34" i="1" a="1"/>
  <c r="M34" i="1"/>
  <c r="P11" i="1" a="1"/>
  <c r="P11" i="1"/>
  <c r="M17" i="1" a="1"/>
  <c r="M17" i="1"/>
  <c r="G10" i="1" a="1"/>
  <c r="G10" i="1"/>
  <c r="E17" i="1" a="1"/>
  <c r="E17" i="1"/>
  <c r="G34" i="1" a="1"/>
  <c r="G34" i="1"/>
  <c r="L17" i="1" a="1"/>
  <c r="L17" i="1"/>
  <c r="O15" i="1" a="1"/>
  <c r="O15" i="1"/>
  <c r="N10" i="1" a="1"/>
  <c r="N10" i="1"/>
  <c r="H34" i="1" a="1"/>
  <c r="H34" i="1"/>
  <c r="K11" i="1" a="1"/>
  <c r="K11" i="1"/>
  <c r="L34" i="1" a="1"/>
  <c r="L34" i="1"/>
  <c r="L22" i="1" a="1"/>
  <c r="L22" i="1"/>
  <c r="G15" i="1" a="1"/>
  <c r="G15" i="1"/>
  <c r="I12" i="1" a="1"/>
  <c r="I12" i="1"/>
  <c r="G26" i="1" a="1"/>
  <c r="G26" i="1"/>
  <c r="I26" i="1" a="1"/>
  <c r="I26" i="1"/>
  <c r="N30" i="1" a="1"/>
  <c r="N30" i="1"/>
  <c r="G17" i="1" a="1"/>
  <c r="G17" i="1"/>
  <c r="O10" i="1" a="1"/>
  <c r="O10" i="1"/>
  <c r="G22" i="1" a="1"/>
  <c r="G22" i="1"/>
  <c r="H11" i="1" a="1"/>
  <c r="H11" i="1"/>
  <c r="P26" i="1" a="1"/>
  <c r="P26" i="1"/>
  <c r="K34" i="1" a="1"/>
  <c r="K34" i="1"/>
  <c r="L12" i="1" a="1"/>
  <c r="L12" i="1"/>
  <c r="E34" i="1" a="1"/>
  <c r="E34" i="1"/>
  <c r="M30" i="1" a="1"/>
  <c r="M30" i="1"/>
  <c r="F15" i="1" a="1"/>
  <c r="F15" i="1"/>
  <c r="I37" i="1" a="1"/>
  <c r="I37" i="1"/>
  <c r="I17" i="1" a="1"/>
  <c r="I17" i="1"/>
  <c r="I10" i="1" a="1"/>
  <c r="I10" i="1"/>
  <c r="P12" i="1" a="1"/>
  <c r="P12" i="1"/>
  <c r="F26" i="1" a="1"/>
  <c r="F26" i="1"/>
  <c r="K22" i="1" a="1"/>
  <c r="K22" i="1"/>
  <c r="J22" i="1" a="1"/>
  <c r="J22" i="1"/>
  <c r="N11" i="1" a="1"/>
  <c r="N11" i="1"/>
  <c r="F22" i="1" a="1"/>
  <c r="F22" i="1"/>
  <c r="O37" i="1" a="1"/>
  <c r="O37" i="1"/>
  <c r="O30" i="1" a="1"/>
  <c r="O30" i="1"/>
  <c r="M37" i="1" a="1"/>
  <c r="M37" i="1"/>
  <c r="O34" i="1" a="1"/>
  <c r="O34" i="1"/>
  <c r="M15" i="1" a="1"/>
  <c r="M15" i="1"/>
  <c r="G14" i="1" a="1"/>
  <c r="G14" i="1"/>
  <c r="O33" i="1" a="1"/>
  <c r="O33" i="1"/>
  <c r="J18" i="1" a="1"/>
  <c r="J18" i="1"/>
  <c r="P28" i="1" a="1"/>
  <c r="P28" i="1"/>
  <c r="N23" i="1" a="1"/>
  <c r="N23" i="1"/>
  <c r="E23" i="1" a="1"/>
  <c r="E23" i="1"/>
  <c r="J28" i="1" a="1"/>
  <c r="J28" i="1"/>
  <c r="F33" i="1" a="1"/>
  <c r="F33" i="1"/>
  <c r="I28" i="1" a="1"/>
  <c r="I28" i="1"/>
  <c r="N5" i="1" a="1"/>
  <c r="N5" i="1"/>
  <c r="K36" i="1" a="1"/>
  <c r="K36" i="1"/>
  <c r="I23" i="1" a="1"/>
  <c r="I23" i="1"/>
  <c r="O27" i="1" a="1"/>
  <c r="O27" i="1"/>
  <c r="F27" i="1" a="1"/>
  <c r="F27" i="1"/>
  <c r="H39" i="1" a="1"/>
  <c r="H39" i="1"/>
  <c r="M36" i="1" a="1"/>
  <c r="M36" i="1"/>
  <c r="F18" i="1" a="1"/>
  <c r="F18" i="1"/>
  <c r="E33" i="1" a="1"/>
  <c r="E33" i="1"/>
  <c r="J23" i="1" a="1"/>
  <c r="J23" i="1"/>
  <c r="G39" i="1" a="1"/>
  <c r="G39" i="1"/>
  <c r="P27" i="1" a="1"/>
  <c r="P27" i="1"/>
  <c r="J33" i="1" a="1"/>
  <c r="J33" i="1"/>
  <c r="F28" i="1" a="1"/>
  <c r="F28" i="1"/>
  <c r="M23" i="1" a="1"/>
  <c r="M23" i="1"/>
  <c r="I27" i="1" a="1"/>
  <c r="I27" i="1"/>
  <c r="O39" i="1" a="1"/>
  <c r="O39" i="1"/>
  <c r="F23" i="1" a="1"/>
  <c r="F23" i="1"/>
  <c r="O5" i="1" a="1"/>
  <c r="O5" i="1"/>
  <c r="E18" i="1" a="1"/>
  <c r="E18" i="1"/>
  <c r="H27" i="1" a="1"/>
  <c r="H27" i="1"/>
  <c r="O23" i="1" a="1"/>
  <c r="O23" i="1"/>
  <c r="F36" i="1" a="1"/>
  <c r="F36" i="1"/>
  <c r="M33" i="1" a="1"/>
  <c r="M33" i="1"/>
  <c r="P24" i="1" a="1"/>
  <c r="P24" i="1"/>
  <c r="G5" i="1" a="1"/>
  <c r="G5" i="1"/>
  <c r="K23" i="1" a="1"/>
  <c r="K23" i="1"/>
  <c r="I24" i="1" a="1"/>
  <c r="I24" i="1"/>
  <c r="G36" i="1" a="1"/>
  <c r="G36" i="1"/>
  <c r="P36" i="1" a="1"/>
  <c r="P36" i="1"/>
  <c r="F24" i="1" a="1"/>
  <c r="F24" i="1"/>
  <c r="L33" i="1" a="1"/>
  <c r="L33" i="1"/>
  <c r="H5" i="1" a="1"/>
  <c r="H5" i="1"/>
  <c r="L39" i="1" a="1"/>
  <c r="L39" i="1"/>
  <c r="M5" i="1" a="1"/>
  <c r="M5" i="1"/>
  <c r="I14" i="1" a="1"/>
  <c r="I14" i="1"/>
  <c r="H23" i="1" a="1"/>
  <c r="H23" i="1"/>
  <c r="J24" i="1" a="1"/>
  <c r="J24" i="1"/>
  <c r="E5" i="1" a="1"/>
  <c r="E5" i="1"/>
  <c r="L5" i="1" a="1"/>
  <c r="L5" i="1"/>
  <c r="J5" i="1" a="1"/>
  <c r="J5" i="1"/>
  <c r="H14" i="1" a="1"/>
  <c r="H14" i="1"/>
  <c r="H33" i="1" a="1"/>
  <c r="H33" i="1"/>
  <c r="K27" i="1" a="1"/>
  <c r="K27" i="1"/>
  <c r="F14" i="1" a="1"/>
  <c r="F14" i="1"/>
  <c r="L36" i="1" a="1"/>
  <c r="L36" i="1"/>
  <c r="N24" i="1" a="1"/>
  <c r="N24" i="1"/>
  <c r="H36" i="1" a="1"/>
  <c r="H36" i="1"/>
  <c r="E36" i="1" a="1"/>
  <c r="E36" i="1"/>
  <c r="P33" i="1" a="1"/>
  <c r="P33" i="1"/>
  <c r="M28" i="1" a="1"/>
  <c r="M28" i="1"/>
  <c r="F5" i="1" a="1"/>
  <c r="F5" i="1"/>
  <c r="G28" i="1" a="1"/>
  <c r="G28" i="1"/>
  <c r="I39" i="1" a="1"/>
  <c r="I39" i="1"/>
  <c r="G23" i="1" a="1"/>
  <c r="G23" i="1"/>
  <c r="P23" i="1" a="1"/>
  <c r="P23" i="1"/>
  <c r="N39" i="1" a="1"/>
  <c r="N39" i="1"/>
  <c r="K18" i="1" a="1"/>
  <c r="K18" i="1"/>
  <c r="P5" i="1" a="1"/>
  <c r="P5" i="1"/>
  <c r="O18" i="1" a="1"/>
  <c r="O18" i="1"/>
  <c r="K39" i="1" a="1"/>
  <c r="K39" i="1"/>
  <c r="O28" i="1" a="1"/>
  <c r="O28" i="1"/>
  <c r="M18" i="1" a="1"/>
  <c r="M18" i="1"/>
  <c r="K5" i="1" a="1"/>
  <c r="K5" i="1"/>
  <c r="P39" i="1" a="1"/>
  <c r="P39" i="1"/>
  <c r="H18" i="1" a="1"/>
  <c r="H18" i="1"/>
  <c r="K24" i="1" a="1"/>
  <c r="K24" i="1"/>
  <c r="N33" i="1" a="1"/>
  <c r="N33" i="1"/>
  <c r="E28" i="1" a="1"/>
  <c r="E28" i="1"/>
  <c r="N18" i="1" a="1"/>
  <c r="N18" i="1"/>
  <c r="I5" i="1" a="1"/>
  <c r="I5" i="1"/>
  <c r="P14" i="1" a="1"/>
  <c r="P14" i="1"/>
  <c r="N36" i="1" a="1"/>
  <c r="N36" i="1"/>
  <c r="O24" i="1" a="1"/>
  <c r="O24" i="1"/>
  <c r="K28" i="1" a="1"/>
  <c r="K28" i="1"/>
  <c r="J14" i="1" a="1"/>
  <c r="J14" i="1"/>
  <c r="M27" i="1" a="1"/>
  <c r="M27" i="1"/>
  <c r="I33" i="1" a="1"/>
  <c r="I33" i="1"/>
  <c r="G27" i="1" a="1"/>
  <c r="G27" i="1"/>
  <c r="H24" i="1" a="1"/>
  <c r="H24" i="1"/>
  <c r="N28" i="1" a="1"/>
  <c r="N28" i="1"/>
  <c r="L14" i="1" a="1"/>
  <c r="L14" i="1"/>
  <c r="E27" i="1" a="1"/>
  <c r="E27" i="1"/>
  <c r="J27" i="1" a="1"/>
  <c r="J27" i="1"/>
  <c r="M24" i="1" a="1"/>
  <c r="M24" i="1"/>
  <c r="J39" i="1" a="1"/>
  <c r="J39" i="1"/>
  <c r="L27" i="1" a="1"/>
  <c r="L27" i="1"/>
  <c r="J36" i="1" a="1"/>
  <c r="J36" i="1"/>
  <c r="E14" i="1" a="1"/>
  <c r="E14" i="1"/>
  <c r="I18" i="1" a="1"/>
  <c r="I18" i="1"/>
  <c r="L18" i="1" a="1"/>
  <c r="L18" i="1"/>
  <c r="M39" i="1" a="1"/>
  <c r="M39" i="1"/>
  <c r="M14" i="1" a="1"/>
  <c r="M14" i="1"/>
  <c r="G33" i="1" a="1"/>
  <c r="G33" i="1"/>
  <c r="G24" i="1" a="1"/>
  <c r="G24" i="1"/>
  <c r="E39" i="1" a="1"/>
  <c r="E39" i="1"/>
  <c r="N27" i="1" a="1"/>
  <c r="N27" i="1"/>
  <c r="O14" i="1" a="1"/>
  <c r="O14" i="1"/>
  <c r="E24" i="1" a="1"/>
  <c r="E24" i="1"/>
  <c r="F39" i="1" a="1"/>
  <c r="F39" i="1"/>
  <c r="I36" i="1" a="1"/>
  <c r="I36" i="1"/>
  <c r="L28" i="1" a="1"/>
  <c r="L28" i="1"/>
  <c r="L24" i="1" a="1"/>
  <c r="L24" i="1"/>
  <c r="N14" i="1" a="1"/>
  <c r="N14" i="1"/>
  <c r="L23" i="1" a="1"/>
  <c r="L23" i="1"/>
  <c r="K14" i="1" a="1"/>
  <c r="K14" i="1"/>
  <c r="G18" i="1" a="1"/>
  <c r="G18" i="1"/>
  <c r="O36" i="1" a="1"/>
  <c r="O36" i="1"/>
  <c r="K33" i="1" a="1"/>
  <c r="K33" i="1"/>
  <c r="H28" i="1" a="1"/>
  <c r="H28" i="1"/>
  <c r="P18" i="1" a="1"/>
  <c r="P18" i="1"/>
  <c r="E3" i="1" a="1"/>
  <c r="F3" i="1" a="1"/>
  <c r="G3" i="1" a="1"/>
  <c r="H3" i="1" a="1"/>
  <c r="I3" i="1" a="1"/>
  <c r="J3" i="1" a="1"/>
  <c r="K3" i="1" a="1"/>
  <c r="L3" i="1" a="1"/>
  <c r="M3" i="1" a="1"/>
  <c r="N3" i="1" a="1"/>
  <c r="O3" i="1" a="1"/>
  <c r="P3" i="1" a="1"/>
  <c r="P3" i="1" l="1"/>
  <c r="O3" i="1"/>
  <c r="N3" i="1"/>
  <c r="M3" i="1"/>
  <c r="L3" i="1"/>
  <c r="K3" i="1"/>
  <c r="J3" i="1"/>
  <c r="I3" i="1"/>
  <c r="H3" i="1"/>
  <c r="G3" i="1"/>
  <c r="F3" i="1"/>
  <c r="E3" i="1"/>
  <c r="C5" i="3" l="1"/>
  <c r="C4" i="3"/>
  <c r="C3" i="3"/>
  <c r="D4" i="3" l="1"/>
  <c r="E4" i="3" s="1"/>
  <c r="D3" i="3"/>
  <c r="E3" i="3" s="1"/>
  <c r="D5" i="3"/>
  <c r="E5" i="3" s="1"/>
  <c r="C41" i="1"/>
  <c r="D41" i="1" s="1"/>
  <c r="C25" i="1"/>
  <c r="D25" i="1" s="1"/>
  <c r="C9" i="1"/>
  <c r="D9" i="1" s="1"/>
  <c r="C8" i="1"/>
  <c r="D8" i="1" s="1"/>
  <c r="C23" i="1"/>
  <c r="D23" i="1" s="1"/>
  <c r="C7" i="1"/>
  <c r="D7" i="1" s="1"/>
  <c r="C21" i="1"/>
  <c r="D21" i="1" s="1"/>
  <c r="C5" i="1"/>
  <c r="D5" i="1" s="1"/>
  <c r="C4" i="1"/>
  <c r="D4" i="1" s="1"/>
  <c r="C17" i="1"/>
  <c r="D17" i="1" s="1"/>
  <c r="C13" i="1"/>
  <c r="D13" i="1" s="1"/>
  <c r="C26" i="1"/>
  <c r="D26" i="1" s="1"/>
  <c r="C40" i="1"/>
  <c r="D40" i="1" s="1"/>
  <c r="C24" i="1"/>
  <c r="D24" i="1" s="1"/>
  <c r="C22" i="1"/>
  <c r="D22" i="1" s="1"/>
  <c r="C6" i="1"/>
  <c r="D6" i="1" s="1"/>
  <c r="C20" i="1"/>
  <c r="D20" i="1" s="1"/>
  <c r="C19" i="1"/>
  <c r="D19" i="1" s="1"/>
  <c r="C18" i="1"/>
  <c r="D18" i="1" s="1"/>
  <c r="C16" i="1"/>
  <c r="D16" i="1" s="1"/>
  <c r="C14" i="1"/>
  <c r="D14" i="1" s="1"/>
  <c r="C11" i="1"/>
  <c r="D11" i="1" s="1"/>
  <c r="C39" i="1"/>
  <c r="D39" i="1" s="1"/>
  <c r="C34" i="1"/>
  <c r="D34" i="1" s="1"/>
  <c r="C30" i="1"/>
  <c r="D30" i="1" s="1"/>
  <c r="C38" i="1"/>
  <c r="D38" i="1" s="1"/>
  <c r="C32" i="1"/>
  <c r="D32" i="1" s="1"/>
  <c r="C12" i="1"/>
  <c r="D12" i="1" s="1"/>
  <c r="C37" i="1"/>
  <c r="D37" i="1" s="1"/>
  <c r="C36" i="1"/>
  <c r="D36" i="1" s="1"/>
  <c r="C31" i="1"/>
  <c r="D31" i="1" s="1"/>
  <c r="C27" i="1"/>
  <c r="D27" i="1" s="1"/>
  <c r="C35" i="1"/>
  <c r="D35" i="1" s="1"/>
  <c r="C28" i="1"/>
  <c r="D28" i="1" s="1"/>
  <c r="C33" i="1"/>
  <c r="D33" i="1" s="1"/>
  <c r="C15" i="1"/>
  <c r="D15" i="1" s="1"/>
  <c r="C29" i="1"/>
  <c r="D29" i="1" s="1"/>
  <c r="C10" i="1"/>
  <c r="D10" i="1" s="1"/>
  <c r="C3" i="1"/>
  <c r="D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<sst xmlns="http://schemas.openxmlformats.org/spreadsheetml/2006/main" count="36" uniqueCount="24">
  <si>
    <t>LTSQ AEIIEAF</t>
  </si>
  <si>
    <t>U3408081-188 Client</t>
  </si>
  <si>
    <t>Overall FP Score</t>
  </si>
  <si>
    <t>Quality FP Score</t>
  </si>
  <si>
    <t>Quality Peer Rank</t>
  </si>
  <si>
    <t>Growth FP Score</t>
  </si>
  <si>
    <t>Growth Peer Rank</t>
  </si>
  <si>
    <t>Valuation FP Score</t>
  </si>
  <si>
    <t>Valuation Peer Rank</t>
  </si>
  <si>
    <t>Moment FP Score</t>
  </si>
  <si>
    <t>Moment Peer Rank</t>
  </si>
  <si>
    <t>Risk FP Score</t>
  </si>
  <si>
    <t>LTSQ AEIIEAF Core</t>
  </si>
  <si>
    <t>U3408081-209 Client</t>
  </si>
  <si>
    <t xml:space="preserve">Weighted Average Momentum Exposure </t>
  </si>
  <si>
    <t>Alpha</t>
  </si>
  <si>
    <t xml:space="preserve">Weighted Average Quality Exposure </t>
  </si>
  <si>
    <t xml:space="preserve">Weighted Average Value Exposure </t>
  </si>
  <si>
    <t>Core</t>
  </si>
  <si>
    <t>Net</t>
  </si>
  <si>
    <t>Core Weight</t>
  </si>
  <si>
    <t>Active Weight</t>
  </si>
  <si>
    <t>GICS Sector Name</t>
  </si>
  <si>
    <t>GICS Industry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</si>
</sst>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/>
  </cellStyleXfs>
  <cellXfs count="11">
    <xf numFmtId="0" fontId="0" fillId="0" borderId="0" xfId="0"/>
    <xf numFmtId="0" fontId="2" fillId="2" borderId="0" xfId="2" applyAlignment="1">
      <alignment horizontal="center" vertical="center" wrapText="1"/>
    </xf>
    <xf numFmtId="43" fontId="0" fillId="0" borderId="0" xfId="1" applyFont="1"/>
    <xf numFmtId="2" fontId="0" fillId="0" borderId="0" xfId="0" applyNumberFormat="1"/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3" borderId="0" xfId="0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2" fillId="2" borderId="0" xfId="2" applyAlignment="1">
      <alignment horizontal="center" vertical="center" wrapText="1"/>
    </xf>
  </cellXfs>
  <cellStyles count="3">
    <cellStyle name="blp_column_header" xfId="2" xr:uid="{16C11DDF-EE4E-4F14-96D4-9A21366145DD}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BDP|11154020992097967519</stp>
        <tr r="K301" s="2"/>
      </tp>
      <tp t="s">
        <v>#N/A N/A</v>
        <stp/>
        <stp>BDP|12876314473848339401</stp>
        <tr r="D3" s="2"/>
      </tp>
      <tp t="s">
        <v>#N/A N/A</v>
        <stp/>
        <stp>BDP|14246023408268739668</stp>
        <tr r="G194" s="2"/>
      </tp>
      <tp t="s">
        <v>#N/A N/A</v>
        <stp/>
        <stp>BDP|18010705287584645988</stp>
        <tr r="D10" s="2"/>
      </tp>
      <tp t="s">
        <v>#N/A N/A</v>
        <stp/>
        <stp>BDP|10502970735446889661</stp>
        <tr r="H225" s="2"/>
      </tp>
      <tp t="s">
        <v>#N/A Requesting Data...4176983179</v>
        <stp/>
        <stp>BDP|14064315145729533085</stp>
        <tr r="O29" s="1"/>
        <tr r="M193" s="2"/>
      </tp>
      <tp t="s">
        <v>#N/A N/A</v>
        <stp/>
        <stp>BDP|18079651312127625284</stp>
        <tr r="N102" s="2"/>
      </tp>
      <tp t="s">
        <v>#N/A N/A</v>
        <stp/>
        <stp>BDP|10759304219139288159</stp>
        <tr r="N263" s="2"/>
      </tp>
      <tp t="s">
        <v>#N/A N/A</v>
        <stp/>
        <stp>BDP|15867474006313026803</stp>
        <tr r="J235" s="2"/>
      </tp>
      <tp t="s">
        <v>#N/A N/A</v>
        <stp/>
        <stp>BDP|16450708649399475616</stp>
        <tr r="L52" s="2"/>
      </tp>
      <tp t="s">
        <v>#N/A Requesting Data...4212236777</v>
        <stp/>
        <stp>BDP|14209552271155900941</stp>
        <tr r="O4" s="1"/>
        <tr r="M21" s="2"/>
      </tp>
      <tp t="s">
        <v>#N/A N/A</v>
        <stp/>
        <stp>BDP|16527016618125255850</stp>
        <tr r="C130" s="2"/>
      </tp>
      <tp t="s">
        <v>#N/A N/A</v>
        <stp/>
        <stp>BDP|12358636479188010125</stp>
        <tr r="F312" s="2"/>
      </tp>
      <tp t="s">
        <v>#N/A N/A</v>
        <stp/>
        <stp>BDP|16391731736718515097</stp>
        <tr r="I299" s="2"/>
      </tp>
      <tp t="s">
        <v>#N/A Requesting Data...4202726646</v>
        <stp/>
        <stp>BDP|14288746980985599496</stp>
        <tr r="J23" s="1"/>
        <tr r="H155" s="2"/>
      </tp>
      <tp t="s">
        <v>#N/A N/A</v>
        <stp/>
        <stp>BDP|18059798978734894633</stp>
        <tr r="K217" s="2"/>
      </tp>
      <tp t="s">
        <v>#N/A Requesting Data...4254032576</v>
        <stp/>
        <stp>BDP|14642927292418922655</stp>
        <tr r="L16" s="1"/>
        <tr r="J95" s="2"/>
      </tp>
      <tp t="s">
        <v>#N/A N/A</v>
        <stp/>
        <stp>BDP|16737998764783929098</stp>
        <tr r="N265" s="2"/>
      </tp>
      <tp t="s">
        <v>#N/A N/A</v>
        <stp/>
        <stp>BDP|10742956430025735582</stp>
        <tr r="I237" s="2"/>
      </tp>
      <tp t="s">
        <v>#N/A N/A</v>
        <stp/>
        <stp>BDP|10573672581303615780</stp>
        <tr r="E296" s="2"/>
      </tp>
      <tp t="s">
        <v>#N/A Requesting Data...4175041771</v>
        <stp/>
        <stp>BDP|13328610134794298884</stp>
        <tr r="G40" s="1"/>
        <tr r="E297" s="2"/>
      </tp>
      <tp t="s">
        <v>#N/A N/A</v>
        <stp/>
        <stp>BDP|14996578961598677551</stp>
        <tr r="J300" s="2"/>
      </tp>
      <tp t="s">
        <v>#N/A N/A</v>
        <stp/>
        <stp>BDP|17054646095471983348</stp>
        <tr r="K156" s="2"/>
      </tp>
      <tp t="s">
        <v>#N/A N/A</v>
        <stp/>
        <stp>BDP|16738161529397406807</stp>
        <tr r="N34" s="2"/>
      </tp>
      <tp t="s">
        <v>#N/A Requesting Data...4188005749</v>
        <stp/>
        <stp>BDP|10402034239549594042</stp>
        <tr r="L41" s="1"/>
        <tr r="J303" s="2"/>
      </tp>
      <tp t="s">
        <v>#N/A N/A</v>
        <stp/>
        <stp>BDP|13328894522781488236</stp>
        <tr r="M168" s="2"/>
      </tp>
      <tp t="s">
        <v>#N/A N/A</v>
        <stp/>
        <stp>BDP|12685186465259228661</stp>
        <tr r="G19" s="2"/>
      </tp>
      <tp t="s">
        <v>#N/A N/A</v>
        <stp/>
        <stp>BDP|15478425599473821188</stp>
        <tr r="H240" s="2"/>
      </tp>
      <tp t="s">
        <v>#N/A N/A</v>
        <stp/>
        <stp>BDP|13820300889451634385</stp>
        <tr r="C106" s="2"/>
      </tp>
      <tp t="s">
        <v>#N/A N/A</v>
        <stp/>
        <stp>BDP|17350587304071238924</stp>
        <tr r="F288" s="2"/>
      </tp>
      <tp t="s">
        <v>#N/A N/A</v>
        <stp/>
        <stp>BDP|17669164001268629487</stp>
        <tr r="K80" s="2"/>
      </tp>
      <tp t="s">
        <v>#N/A N/A</v>
        <stp/>
        <stp>BDP|14600578586067135480</stp>
        <tr r="L49" s="2"/>
      </tp>
      <tp t="s">
        <v>#N/A N/A</v>
        <stp/>
        <stp>BDP|11419952895388995334</stp>
        <tr r="L106" s="2"/>
      </tp>
      <tp t="s">
        <v>#N/A N/A</v>
        <stp/>
        <stp>BDP|10610086144236720836</stp>
        <tr r="N134" s="2"/>
      </tp>
      <tp t="s">
        <v>#N/A N/A</v>
        <stp/>
        <stp>BDP|10774436893042016590</stp>
        <tr r="M13" s="2"/>
      </tp>
      <tp t="s">
        <v>#N/A Requesting Data...4193851253</v>
        <stp/>
        <stp>BDP|10546751275642839830</stp>
        <tr r="E19" s="1"/>
        <tr r="C142" s="2"/>
      </tp>
      <tp t="s">
        <v>#N/A N/A</v>
        <stp/>
        <stp>BDP|11622283614110705830</stp>
        <tr r="I285" s="2"/>
      </tp>
      <tp t="s">
        <v>#N/A N/A</v>
        <stp/>
        <stp>BDP|12950256399982404102</stp>
        <tr r="M249" s="2"/>
      </tp>
      <tp t="s">
        <v>#N/A N/A</v>
        <stp/>
        <stp>BDP|14405964676419109948</stp>
        <tr r="J161" s="2"/>
      </tp>
      <tp t="s">
        <v>#N/A N/A</v>
        <stp/>
        <stp>BDP|11102014182947047436</stp>
        <tr r="K164" s="2"/>
      </tp>
      <tp t="s">
        <v>#N/A N/A</v>
        <stp/>
        <stp>BDP|10688557460179748054</stp>
        <tr r="I317" s="2"/>
      </tp>
      <tp t="s">
        <v>#N/A N/A</v>
        <stp/>
        <stp>BDP|17573047297391726500</stp>
        <tr r="C283" s="2"/>
      </tp>
      <tp t="s">
        <v>#N/A N/A</v>
        <stp/>
        <stp>BDP|12477880159091122447</stp>
        <tr r="C269" s="2"/>
      </tp>
      <tp t="s">
        <v>#N/A N/A</v>
        <stp/>
        <stp>BDP|13439847621206651572</stp>
        <tr r="K54" s="2"/>
      </tp>
      <tp t="s">
        <v>#N/A Requesting Data...4228191554</v>
        <stp/>
        <stp>BDP|15217661606440664942</stp>
        <tr r="F27" s="1"/>
        <tr r="D181" s="2"/>
      </tp>
      <tp t="s">
        <v>#N/A Requesting Data...4235308033</v>
        <stp/>
        <stp>BDP|10192153942309770619</stp>
        <tr r="F32" s="1"/>
        <tr r="D204" s="2"/>
      </tp>
      <tp t="s">
        <v>#N/A N/A</v>
        <stp/>
        <stp>BDP|14335217762359851385</stp>
        <tr r="G27" s="2"/>
      </tp>
      <tp t="s">
        <v>#N/A N/A</v>
        <stp/>
        <stp>BDP|12322290853637867814</stp>
        <tr r="D264" s="2"/>
      </tp>
      <tp t="s">
        <v>#N/A N/A</v>
        <stp/>
        <stp>BDP|12360300281173423060</stp>
        <tr r="K63" s="2"/>
      </tp>
      <tp t="s">
        <v>#N/A N/A</v>
        <stp/>
        <stp>BDP|17345873014231426542</stp>
        <tr r="F294" s="2"/>
      </tp>
      <tp t="s">
        <v>#N/A N/A</v>
        <stp/>
        <stp>BDP|15114509987357548506</stp>
        <tr r="M111" s="2"/>
      </tp>
      <tp t="s">
        <v>#N/A Requesting Data...4190690363</v>
        <stp/>
        <stp>BDP|13014861001808125956</stp>
        <tr r="M23" s="1"/>
        <tr r="K155" s="2"/>
      </tp>
      <tp t="s">
        <v>#N/A N/A</v>
        <stp/>
        <stp>BDP|15650124656552904987</stp>
        <tr r="G177" s="2"/>
      </tp>
      <tp t="s">
        <v>#N/A Requesting Data...4185968851</v>
        <stp/>
        <stp>BDP|10240824320573415375</stp>
        <tr r="N12" s="1"/>
        <tr r="L85" s="2"/>
      </tp>
      <tp t="s">
        <v>#N/A N/A</v>
        <stp/>
        <stp>BDP|13217754802698734610</stp>
        <tr r="E7" s="2"/>
      </tp>
      <tp t="s">
        <v>#N/A N/A</v>
        <stp/>
        <stp>BDP|14169300550460443863</stp>
        <tr r="M102" s="2"/>
      </tp>
      <tp t="s">
        <v>#N/A N/A</v>
        <stp/>
        <stp>BDP|13466766894271759622</stp>
        <tr r="E170" s="2"/>
      </tp>
      <tp t="s">
        <v>#N/A N/A</v>
        <stp/>
        <stp>BDP|18198780118444710044</stp>
        <tr r="K308" s="2"/>
      </tp>
      <tp t="s">
        <v>#N/A N/A</v>
        <stp/>
        <stp>BDP|10736334391647007779</stp>
        <tr r="I302" s="2"/>
      </tp>
      <tp t="s">
        <v>#N/A N/A</v>
        <stp/>
        <stp>BDP|11245057911979522317</stp>
        <tr r="L191" s="2"/>
      </tp>
      <tp t="s">
        <v>#N/A N/A</v>
        <stp/>
        <stp>BDP|17141458093616140641</stp>
        <tr r="K268" s="2"/>
      </tp>
      <tp t="s">
        <v>#N/A N/A</v>
        <stp/>
        <stp>BDP|15601628624798194338</stp>
        <tr r="F271" s="2"/>
      </tp>
      <tp t="s">
        <v>#N/A N/A</v>
        <stp/>
        <stp>BDP|17664994256519936828</stp>
        <tr r="C25" s="2"/>
      </tp>
      <tp t="s">
        <v>#N/A N/A</v>
        <stp/>
        <stp>BDP|15298436954519285754</stp>
        <tr r="D57" s="2"/>
      </tp>
      <tp t="s">
        <v>#N/A N/A</v>
        <stp/>
        <stp>BDP|18205368305776435779</stp>
        <tr r="F115" s="2"/>
      </tp>
      <tp t="s">
        <v>#N/A N/A</v>
        <stp/>
        <stp>BDP|10129683693557881208</stp>
        <tr r="J117" s="2"/>
      </tp>
      <tp t="s">
        <v>#N/A Requesting Data...4176076741</v>
        <stp/>
        <stp>BDP|18397427140683157156</stp>
        <tr r="J31" s="1"/>
        <tr r="H200" s="2"/>
      </tp>
      <tp t="s">
        <v>#N/A N/A</v>
        <stp/>
        <stp>BDP|13872937906078012889</stp>
        <tr r="F178" s="2"/>
      </tp>
      <tp t="s">
        <v>#N/A N/A</v>
        <stp/>
        <stp>BDP|17150008944919433048</stp>
        <tr r="H189" s="2"/>
      </tp>
      <tp t="s">
        <v>#N/A N/A</v>
        <stp/>
        <stp>BDP|12094405303368185479</stp>
        <tr r="K121" s="2"/>
      </tp>
      <tp t="s">
        <v>#N/A N/A</v>
        <stp/>
        <stp>BDP|11868328761509927774</stp>
        <tr r="E88" s="2"/>
      </tp>
      <tp t="s">
        <v>#N/A N/A</v>
        <stp/>
        <stp>BDP|10411246095935986497</stp>
        <tr r="K61" s="2"/>
      </tp>
      <tp t="s">
        <v>#N/A N/A</v>
        <stp/>
        <stp>BDP|17422194622458202683</stp>
        <tr r="G230" s="2"/>
      </tp>
      <tp t="s">
        <v>#N/A N/A</v>
        <stp/>
        <stp>BDP|13826157482248818826</stp>
        <tr r="C49" s="2"/>
      </tp>
      <tp t="s">
        <v>#N/A N/A</v>
        <stp/>
        <stp>BDP|16565519853308636449</stp>
        <tr r="G214" s="2"/>
      </tp>
      <tp t="s">
        <v>#N/A N/A</v>
        <stp/>
        <stp>BDP|17965407792253772392</stp>
        <tr r="N292" s="2"/>
      </tp>
      <tp t="s">
        <v>#N/A Requesting Data...4171321412</v>
        <stp/>
        <stp>BDP|17608924934252256577</stp>
        <tr r="J10" s="1"/>
        <tr r="H74" s="2"/>
      </tp>
      <tp t="s">
        <v>#N/A N/A</v>
        <stp/>
        <stp>BDP|11684673765863860886</stp>
        <tr r="E273" s="2"/>
      </tp>
      <tp t="s">
        <v>#N/A N/A</v>
        <stp/>
        <stp>BDP|10803784243159219053</stp>
        <tr r="G47" s="2"/>
      </tp>
      <tp t="s">
        <v>#N/A N/A</v>
        <stp/>
        <stp>BDP|18330076975344692105</stp>
        <tr r="C17" s="2"/>
      </tp>
      <tp t="s">
        <v>#N/A N/A</v>
        <stp/>
        <stp>BDP|12045327377358135433</stp>
        <tr r="J104" s="2"/>
      </tp>
      <tp t="s">
        <v>#N/A N/A</v>
        <stp/>
        <stp>BDP|17046425456274544863</stp>
        <tr r="C82" s="2"/>
      </tp>
      <tp t="s">
        <v>#N/A N/A</v>
        <stp/>
        <stp>BDP|10641831422543795363</stp>
        <tr r="E28" s="2"/>
      </tp>
      <tp t="s">
        <v>#N/A N/A</v>
        <stp/>
        <stp>BDP|12342009830739020251</stp>
        <tr r="N154" s="2"/>
      </tp>
      <tp t="s">
        <v>#N/A Requesting Data...4213227107</v>
        <stp/>
        <stp>BDP|18298236942292602635</stp>
        <tr r="P8" s="1"/>
        <tr r="N38" s="2"/>
      </tp>
      <tp t="s">
        <v>#N/A Requesting Data...4286077445</v>
        <stp/>
        <stp>BDP|16526526466808646717</stp>
        <tr r="N5" s="1"/>
        <tr r="L29" s="2"/>
      </tp>
      <tp t="s">
        <v>#N/A N/A</v>
        <stp/>
        <stp>BDP|11323972342786692063</stp>
        <tr r="L117" s="2"/>
      </tp>
      <tp t="s">
        <v>#N/A N/A</v>
        <stp/>
        <stp>BDP|14712659243685123896</stp>
        <tr r="I284" s="2"/>
      </tp>
      <tp t="s">
        <v>#N/A N/A</v>
        <stp/>
        <stp>BDP|16429522585872328297</stp>
        <tr r="H221" s="2"/>
      </tp>
      <tp t="s">
        <v>#N/A N/A</v>
        <stp/>
        <stp>BDP|14056908578057642675</stp>
        <tr r="G226" s="2"/>
      </tp>
      <tp t="s">
        <v>#N/A N/A</v>
        <stp/>
        <stp>BDP|15111694082597444776</stp>
        <tr r="E267" s="2"/>
      </tp>
      <tp t="s">
        <v>#N/A N/A</v>
        <stp/>
        <stp>BDP|14306034046193879876</stp>
        <tr r="J153" s="2"/>
      </tp>
      <tp t="s">
        <v>#N/A N/A</v>
        <stp/>
        <stp>BDP|17985619879045189882</stp>
        <tr r="F99" s="2"/>
      </tp>
      <tp t="s">
        <v>#N/A N/A</v>
        <stp/>
        <stp>BDP|15009309483096251393</stp>
        <tr r="G72" s="2"/>
      </tp>
      <tp t="s">
        <v>#N/A N/A</v>
        <stp/>
        <stp>BDP|14036841149447201479</stp>
        <tr r="F3" s="2"/>
      </tp>
      <tp t="s">
        <v>#N/A N/A</v>
        <stp/>
        <stp>BDP|10137034147486983945</stp>
        <tr r="G18" s="2"/>
      </tp>
      <tp t="s">
        <v>#N/A Requesting Data...4268083282</v>
        <stp/>
        <stp>BDP|16970529636543389851</stp>
        <tr r="H3" s="1"/>
        <tr r="F20" s="2"/>
      </tp>
      <tp t="s">
        <v>#N/A N/A</v>
        <stp/>
        <stp>BDP|15085993057704094654</stp>
        <tr r="K134" s="2"/>
      </tp>
      <tp t="s">
        <v>#N/A N/A</v>
        <stp/>
        <stp>BDP|18209142076773856634</stp>
        <tr r="D222" s="2"/>
      </tp>
      <tp t="s">
        <v>#N/A N/A</v>
        <stp/>
        <stp>BDP|17690980020715075241</stp>
        <tr r="N141" s="2"/>
      </tp>
      <tp t="s">
        <v>#N/A N/A</v>
        <stp/>
        <stp>BDP|16568519889513119367</stp>
        <tr r="G92" s="2"/>
      </tp>
      <tp t="s">
        <v>#N/A N/A</v>
        <stp/>
        <stp>BDP|17567241295581694688</stp>
        <tr r="M251" s="2"/>
      </tp>
      <tp t="s">
        <v>#N/A N/A</v>
        <stp/>
        <stp>BDP|11752654084937591396</stp>
        <tr r="I166" s="2"/>
      </tp>
      <tp t="s">
        <v>#N/A N/A</v>
        <stp/>
        <stp>BDP|17970976595349947583</stp>
        <tr r="N7" s="2"/>
      </tp>
      <tp t="s">
        <v>#N/A N/A</v>
        <stp/>
        <stp>BDP|14609730389504434455</stp>
        <tr r="N177" s="2"/>
      </tp>
      <tp t="s">
        <v>#N/A N/A</v>
        <stp/>
        <stp>BDP|18323300649363763705</stp>
        <tr r="F158" s="2"/>
      </tp>
      <tp t="s">
        <v>#N/A N/A</v>
        <stp/>
        <stp>BDP|12573560613465942846</stp>
        <tr r="K151" s="2"/>
      </tp>
      <tp t="s">
        <v>#N/A N/A</v>
        <stp/>
        <stp>BDP|17129664688400118234</stp>
        <tr r="C187" s="2"/>
      </tp>
      <tp t="s">
        <v>#N/A N/A</v>
        <stp/>
        <stp>BDP|11051545729368210524</stp>
        <tr r="M254" s="2"/>
      </tp>
      <tp t="s">
        <v>#N/A N/A</v>
        <stp/>
        <stp>BDP|10361243793110044096</stp>
        <tr r="N175" s="2"/>
      </tp>
      <tp t="s">
        <v>#N/A N/A</v>
        <stp/>
        <stp>BDP|12800990398979610031</stp>
        <tr r="J129" s="2"/>
      </tp>
      <tp t="s">
        <v>#N/A N/A</v>
        <stp/>
        <stp>BDP|13828313189385524698</stp>
        <tr r="J92" s="2"/>
      </tp>
      <tp t="s">
        <v>#N/A N/A</v>
        <stp/>
        <stp>BDP|16663080234967565937</stp>
        <tr r="J317" s="2"/>
      </tp>
      <tp t="s">
        <v>#N/A N/A</v>
        <stp/>
        <stp>BDP|11415875615283976032</stp>
        <tr r="C28" s="2"/>
      </tp>
      <tp t="s">
        <v>#N/A N/A</v>
        <stp/>
        <stp>BDP|12993373893216423558</stp>
        <tr r="E71" s="2"/>
      </tp>
      <tp t="s">
        <v>#N/A N/A</v>
        <stp/>
        <stp>BDP|16829245142488764354</stp>
        <tr r="F277" s="2"/>
      </tp>
      <tp t="s">
        <v>#N/A N/A</v>
        <stp/>
        <stp>BDP|10357300825022355890</stp>
        <tr r="C104" s="2"/>
      </tp>
      <tp t="s">
        <v>#N/A N/A</v>
        <stp/>
        <stp>BDP|17512878766673097180</stp>
        <tr r="J249" s="2"/>
      </tp>
      <tp t="s">
        <v>#N/A N/A</v>
        <stp/>
        <stp>BDP|11828585482175730290</stp>
        <tr r="I212" s="2"/>
      </tp>
      <tp t="s">
        <v>#N/A N/A</v>
        <stp/>
        <stp>BDP|13610897111360676147</stp>
        <tr r="F126" s="2"/>
      </tp>
      <tp t="s">
        <v>#N/A N/A</v>
        <stp/>
        <stp>BDP|18134467944095918659</stp>
        <tr r="N67" s="2"/>
      </tp>
      <tp t="s">
        <v>#N/A N/A</v>
        <stp/>
        <stp>BDP|15525659337943016880</stp>
        <tr r="C124" s="2"/>
      </tp>
      <tp t="s">
        <v>#N/A Requesting Data...4243115707</v>
        <stp/>
        <stp>BDP|11928934433266524634</stp>
        <tr r="O40" s="1"/>
        <tr r="M297" s="2"/>
      </tp>
      <tp t="s">
        <v>#N/A N/A</v>
        <stp/>
        <stp>BDP|16219661390324201680</stp>
        <tr r="H191" s="2"/>
      </tp>
      <tp t="s">
        <v>#N/A N/A</v>
        <stp/>
        <stp>BDP|18397969307393497988</stp>
        <tr r="M308" s="2"/>
      </tp>
      <tp t="s">
        <v>#N/A N/A</v>
        <stp/>
        <stp>BDP|14166012886612818501</stp>
        <tr r="E160" s="2"/>
      </tp>
      <tp t="s">
        <v>#N/A N/A</v>
        <stp/>
        <stp>BDP|15658755518188124042</stp>
        <tr r="K186" s="2"/>
      </tp>
      <tp t="s">
        <v>#N/A N/A</v>
        <stp/>
        <stp>BDP|11053317339152158871</stp>
        <tr r="M15" s="2"/>
      </tp>
      <tp t="s">
        <v>#N/A N/A</v>
        <stp/>
        <stp>BDP|10820721257828654159</stp>
        <tr r="L128" s="2"/>
      </tp>
      <tp t="s">
        <v>#N/A N/A</v>
        <stp/>
        <stp>BDP|17872811546379888967</stp>
        <tr r="H111" s="2"/>
      </tp>
      <tp t="s">
        <v>#N/A N/A</v>
        <stp/>
        <stp>BDP|10723559232695167806</stp>
        <tr r="D314" s="2"/>
      </tp>
      <tp t="s">
        <v>#N/A Requesting Data...4255734308</v>
        <stp/>
        <stp>BDP|12547156351989811486</stp>
        <tr r="H4" s="1"/>
        <tr r="F21" s="2"/>
      </tp>
      <tp t="s">
        <v>#N/A N/A</v>
        <stp/>
        <stp>BDP|18306404910122797450</stp>
        <tr r="J277" s="2"/>
      </tp>
      <tp t="s">
        <v>#N/A N/A</v>
        <stp/>
        <stp>BDP|12919594996161075473</stp>
        <tr r="K220" s="2"/>
      </tp>
      <tp t="s">
        <v>#N/A N/A</v>
        <stp/>
        <stp>BDP|14666150791187719041</stp>
        <tr r="J76" s="2"/>
      </tp>
      <tp t="s">
        <v>#N/A N/A</v>
        <stp/>
        <stp>BDP|13201021448629059589</stp>
        <tr r="F143" s="2"/>
      </tp>
      <tp t="s">
        <v>#N/A N/A</v>
        <stp/>
        <stp>BDP|14460435048779762688</stp>
        <tr r="D67" s="2"/>
      </tp>
      <tp t="s">
        <v>#N/A N/A</v>
        <stp/>
        <stp>BDP|14009347992900437522</stp>
        <tr r="K130" s="2"/>
      </tp>
      <tp t="s">
        <v>#N/A N/A</v>
        <stp/>
        <stp>BDP|15431973658674911628</stp>
        <tr r="D315" s="2"/>
      </tp>
      <tp t="s">
        <v>#N/A Requesting Data...4224696121</v>
        <stp/>
        <stp>BDP|10689704070038418323</stp>
        <tr r="P24" s="1"/>
        <tr r="N157" s="2"/>
      </tp>
      <tp t="s">
        <v>#N/A N/A</v>
        <stp/>
        <stp>BDP|14717449693272018007</stp>
        <tr r="J175" s="2"/>
      </tp>
      <tp t="s">
        <v>#N/A N/A</v>
        <stp/>
        <stp>BDP|10508899358863778534</stp>
        <tr r="M24" s="2"/>
      </tp>
      <tp t="s">
        <v>#N/A N/A</v>
        <stp/>
        <stp>BDP|18204357079052601587</stp>
        <tr r="I206" s="2"/>
      </tp>
      <tp t="s">
        <v>#N/A N/A</v>
        <stp/>
        <stp>BDP|17939030981106931224</stp>
        <tr r="M73" s="2"/>
      </tp>
      <tp t="s">
        <v>#N/A N/A</v>
        <stp/>
        <stp>BDP|16688788296607028481</stp>
        <tr r="M81" s="2"/>
      </tp>
      <tp t="s">
        <v>#N/A N/A</v>
        <stp/>
        <stp>BDP|16851716109889477375</stp>
        <tr r="D279" s="2"/>
      </tp>
      <tp t="s">
        <v>#N/A N/A</v>
        <stp/>
        <stp>BDP|17763617095613639061</stp>
        <tr r="K167" s="2"/>
      </tp>
      <tp t="s">
        <v>#N/A N/A</v>
        <stp/>
        <stp>BDP|14522773202410787857</stp>
        <tr r="D132" s="2"/>
      </tp>
      <tp t="s">
        <v>#N/A N/A</v>
        <stp/>
        <stp>BDP|15778507957549042729</stp>
        <tr r="K115" s="2"/>
      </tp>
      <tp t="s">
        <v>#N/A N/A</v>
        <stp/>
        <stp>BDP|16203931454920011175</stp>
        <tr r="I196" s="2"/>
      </tp>
      <tp t="s">
        <v>#N/A N/A</v>
        <stp/>
        <stp>BDP|11680689677243877837</stp>
        <tr r="G279" s="2"/>
      </tp>
      <tp t="s">
        <v>#N/A N/A</v>
        <stp/>
        <stp>BDP|12790219874689632563</stp>
        <tr r="G287" s="2"/>
      </tp>
      <tp t="s">
        <v>#N/A N/A</v>
        <stp/>
        <stp>BDP|12571661794513475511</stp>
        <tr r="I121" s="2"/>
      </tp>
      <tp t="s">
        <v>#N/A N/A</v>
        <stp/>
        <stp>BDP|10961020931511906968</stp>
        <tr r="C251" s="2"/>
      </tp>
      <tp t="s">
        <v>#N/A N/A</v>
        <stp/>
        <stp>BDP|13915948561462829514</stp>
        <tr r="G298" s="2"/>
      </tp>
      <tp t="s">
        <v>#N/A N/A</v>
        <stp/>
        <stp>BDP|16487210463891032838</stp>
        <tr r="I227" s="2"/>
      </tp>
      <tp t="s">
        <v>#N/A N/A</v>
        <stp/>
        <stp>BDP|17280500980780419135</stp>
        <tr r="F108" s="2"/>
      </tp>
      <tp t="s">
        <v>#N/A N/A</v>
        <stp/>
        <stp>BDP|14970770399908621946</stp>
        <tr r="E129" s="2"/>
      </tp>
      <tp t="s">
        <v>#N/A N/A</v>
        <stp/>
        <stp>BDP|15620822495646584916</stp>
        <tr r="L275" s="2"/>
      </tp>
      <tp t="s">
        <v>#N/A N/A</v>
        <stp/>
        <stp>BDP|16143465471157196927</stp>
        <tr r="D136" s="2"/>
      </tp>
      <tp t="s">
        <v>#N/A N/A</v>
        <stp/>
        <stp>BDP|14635842822336061357</stp>
        <tr r="J156" s="2"/>
      </tp>
      <tp t="s">
        <v>#N/A N/A</v>
        <stp/>
        <stp>BDP|11507118386122731109</stp>
        <tr r="E104" s="2"/>
      </tp>
      <tp t="s">
        <v>#N/A N/A</v>
        <stp/>
        <stp>BDP|10816440296602959465</stp>
        <tr r="E48" s="2"/>
      </tp>
      <tp t="s">
        <v>#N/A N/A</v>
        <stp/>
        <stp>BDP|11541995533525346597</stp>
        <tr r="L205" s="2"/>
      </tp>
      <tp t="s">
        <v>#N/A N/A</v>
        <stp/>
        <stp>BDP|13531717640272550945</stp>
        <tr r="L203" s="2"/>
      </tp>
      <tp t="s">
        <v>#N/A Requesting Data...4244430842</v>
        <stp/>
        <stp>BDP|11744310997131794129</stp>
        <tr r="E18" s="1"/>
        <tr r="C131" s="2"/>
      </tp>
      <tp t="s">
        <v>#N/A N/A</v>
        <stp/>
        <stp>BDP|15177936381676174965</stp>
        <tr r="N89" s="2"/>
      </tp>
      <tp t="s">
        <v>#N/A Requesting Data...4289649885</v>
        <stp/>
        <stp>BDP|10400942484353527968</stp>
        <tr r="J12" s="1"/>
        <tr r="H85" s="2"/>
      </tp>
      <tp t="s">
        <v>#N/A N/A</v>
        <stp/>
        <stp>BDP|16134631783383434028</stp>
        <tr r="N187" s="2"/>
      </tp>
      <tp t="s">
        <v>#N/A N/A</v>
        <stp/>
        <stp>BDP|18092040663365199019</stp>
        <tr r="J268" s="2"/>
      </tp>
      <tp t="s">
        <v>#N/A N/A</v>
        <stp/>
        <stp>BDP|14102616139178979278</stp>
        <tr r="N144" s="2"/>
      </tp>
      <tp t="s">
        <v>#N/A N/A</v>
        <stp/>
        <stp>BDP|11611258083781105161</stp>
        <tr r="L70" s="2"/>
      </tp>
      <tp t="s">
        <v>#N/A N/A</v>
        <stp/>
        <stp>BDP|18383257640607425254</stp>
        <tr r="I311" s="2"/>
      </tp>
      <tp t="s">
        <v>#N/A N/A</v>
        <stp/>
        <stp>BDP|11089479387944422234</stp>
        <tr r="F66" s="2"/>
      </tp>
      <tp t="s">
        <v>#N/A N/A</v>
        <stp/>
        <stp>BDP|13227079751489051434</stp>
        <tr r="L177" s="2"/>
      </tp>
      <tp t="s">
        <v>#N/A N/A</v>
        <stp/>
        <stp>BDP|11758877410165688616</stp>
        <tr r="C274" s="2"/>
      </tp>
      <tp t="s">
        <v>#N/A N/A</v>
        <stp/>
        <stp>BDP|17077902209970696586</stp>
        <tr r="J262" s="2"/>
      </tp>
      <tp t="s">
        <v>#N/A N/A</v>
        <stp/>
        <stp>BDP|17697825554047070678</stp>
        <tr r="M225" s="2"/>
      </tp>
      <tp t="s">
        <v>#N/A N/A</v>
        <stp/>
        <stp>BDP|12465531825257215975</stp>
        <tr r="H273" s="2"/>
      </tp>
      <tp t="s">
        <v>#N/A N/A</v>
        <stp/>
        <stp>BDP|11280254854818119554</stp>
        <tr r="N149" s="2"/>
      </tp>
      <tp t="s">
        <v>#N/A N/A</v>
        <stp/>
        <stp>BDP|14790871239853840762</stp>
        <tr r="L55" s="2"/>
      </tp>
      <tp t="s">
        <v>#N/A N/A</v>
        <stp/>
        <stp>BDP|16519668163485181861</stp>
        <tr r="K19" s="2"/>
      </tp>
      <tp t="s">
        <v>#N/A N/A</v>
        <stp/>
        <stp>BDP|18220169537235208473</stp>
        <tr r="H259" s="2"/>
      </tp>
      <tp t="s">
        <v>#N/A Requesting Data...4291044700</v>
        <stp/>
        <stp>BDP|16569726555868622728</stp>
        <tr r="N31" s="1"/>
        <tr r="L200" s="2"/>
      </tp>
      <tp t="s">
        <v>#N/A Requesting Data...4265530443</v>
        <stp/>
        <stp>BDP|17261704182713339050</stp>
        <tr r="I28" s="1"/>
        <tr r="G192" s="2"/>
      </tp>
      <tp t="s">
        <v>#N/A N/A</v>
        <stp/>
        <stp>BDP|14225501625513810869</stp>
        <tr r="N287" s="2"/>
      </tp>
      <tp t="s">
        <v>#N/A N/A</v>
        <stp/>
        <stp>BDP|15092542791815563496</stp>
        <tr r="I149" s="2"/>
      </tp>
      <tp t="s">
        <v>#N/A N/A</v>
        <stp/>
        <stp>BDP|16511682207198397009</stp>
        <tr r="J316" s="2"/>
      </tp>
      <tp t="s">
        <v>#N/A Requesting Data...4256920842</v>
        <stp/>
        <stp>BDP|12444439716148884705</stp>
        <tr r="G6" s="1"/>
        <tr r="E31" s="2"/>
      </tp>
      <tp t="s">
        <v>#N/A N/A</v>
        <stp/>
        <stp>BDP|15406053857301735983</stp>
        <tr r="D280" s="2"/>
      </tp>
      <tp t="s">
        <v>#N/A N/A</v>
        <stp/>
        <stp>BDP|17373650319190575829</stp>
        <tr r="E40" s="2"/>
      </tp>
      <tp t="s">
        <v>#N/A N/A</v>
        <stp/>
        <stp>BDP|11109822763227974018</stp>
        <tr r="D17" s="2"/>
      </tp>
      <tp t="s">
        <v>#N/A N/A</v>
        <stp/>
        <stp>BDP|18113291823056360607</stp>
        <tr r="L270" s="2"/>
      </tp>
      <tp t="s">
        <v>#N/A N/A</v>
        <stp/>
        <stp>BDP|12027791430509404750</stp>
        <tr r="C214" s="2"/>
      </tp>
      <tp t="s">
        <v>#N/A N/A</v>
        <stp/>
        <stp>BDP|15882914601212612657</stp>
        <tr r="C291" s="2"/>
      </tp>
      <tp t="s">
        <v>#N/A N/A</v>
        <stp/>
        <stp>BDP|17808281356151879958</stp>
        <tr r="J311" s="2"/>
      </tp>
      <tp t="s">
        <v>#N/A N/A</v>
        <stp/>
        <stp>BDP|14987853273464352775</stp>
        <tr r="G115" s="2"/>
      </tp>
      <tp t="s">
        <v>#N/A Requesting Data...4256425299</v>
        <stp/>
        <stp>BDP|10134873708525431519</stp>
        <tr r="G36" s="1"/>
        <tr r="E260" s="2"/>
      </tp>
      <tp t="s">
        <v>#N/A N/A</v>
        <stp/>
        <stp>BDP|11832616263718409156</stp>
        <tr r="I9" s="2"/>
      </tp>
      <tp t="s">
        <v>#N/A N/A</v>
        <stp/>
        <stp>BDP|11849058191530558028</stp>
        <tr r="M159" s="2"/>
      </tp>
      <tp t="s">
        <v>#N/A N/A</v>
        <stp/>
        <stp>BDP|14763189084757506243</stp>
        <tr r="G274" s="2"/>
      </tp>
      <tp t="s">
        <v>#N/A N/A</v>
        <stp/>
        <stp>BDP|16548583651927522936</stp>
        <tr r="E72" s="2"/>
      </tp>
      <tp t="s">
        <v>#N/A N/A</v>
        <stp/>
        <stp>BDP|17918282595912631680</stp>
        <tr r="F46" s="2"/>
      </tp>
      <tp t="s">
        <v>#N/A Requesting Data...4282855207</v>
        <stp/>
        <stp>BDP|15306098106625557839</stp>
        <tr r="L19" s="1"/>
        <tr r="J142" s="2"/>
      </tp>
      <tp t="s">
        <v>#N/A N/A</v>
        <stp/>
        <stp>BDP|17264143838155670824</stp>
        <tr r="I58" s="2"/>
      </tp>
      <tp t="s">
        <v>#N/A N/A</v>
        <stp/>
        <stp>BDP|15366199656900663905</stp>
        <tr r="J51" s="2"/>
      </tp>
      <tp t="s">
        <v>#N/A N/A</v>
        <stp/>
        <stp>BDP|13329370738108395321</stp>
        <tr r="F317" s="2"/>
      </tp>
      <tp t="s">
        <v>#N/A N/A</v>
        <stp/>
        <stp>BDP|14774689382395205727</stp>
        <tr r="N129" s="2"/>
      </tp>
      <tp t="s">
        <v>#N/A N/A</v>
        <stp/>
        <stp>BDP|12029986415955672763</stp>
        <tr r="L280" s="2"/>
      </tp>
      <tp t="s">
        <v>#N/A N/A</v>
        <stp/>
        <stp>BDP|13212881865202251708</stp>
        <tr r="J69" s="2"/>
      </tp>
      <tp t="s">
        <v>#N/A N/A</v>
        <stp/>
        <stp>BDP|14825854221331341726</stp>
        <tr r="L137" s="2"/>
      </tp>
      <tp t="s">
        <v>#N/A N/A</v>
        <stp/>
        <stp>BDP|14323736581230921353</stp>
        <tr r="K113" s="2"/>
      </tp>
      <tp t="s">
        <v>#N/A N/A</v>
        <stp/>
        <stp>BDP|12321228092659984872</stp>
        <tr r="M68" s="2"/>
      </tp>
      <tp t="s">
        <v>#N/A N/A</v>
        <stp/>
        <stp>BDP|16075858069722240239</stp>
        <tr r="G173" s="2"/>
      </tp>
      <tp t="s">
        <v>#N/A N/A</v>
        <stp/>
        <stp>BDP|18389050178711076620</stp>
        <tr r="M83" s="2"/>
      </tp>
      <tp t="s">
        <v>#N/A Requesting Data...4289683351</v>
        <stp/>
        <stp>BDP|16520453931198909141</stp>
        <tr r="J34" s="1"/>
        <tr r="H233" s="2"/>
      </tp>
      <tp t="s">
        <v>#N/A N/A</v>
        <stp/>
        <stp>BDP|12603890985678447224</stp>
        <tr r="I47" s="2"/>
      </tp>
      <tp t="s">
        <v>#N/A N/A</v>
        <stp/>
        <stp>BDP|13820037202073437813</stp>
        <tr r="G246" s="2"/>
      </tp>
      <tp t="s">
        <v>#N/A N/A</v>
        <stp/>
        <stp>BDP|10179386604299721259</stp>
        <tr r="F187" s="2"/>
      </tp>
      <tp t="s">
        <v>#N/A N/A</v>
        <stp/>
        <stp>BDP|12297561316499539783</stp>
        <tr r="G267" s="2"/>
      </tp>
      <tp t="s">
        <v>#N/A N/A</v>
        <stp/>
        <stp>BDP|15813804338313827577</stp>
        <tr r="C27" s="2"/>
      </tp>
      <tp t="s">
        <v>#N/A N/A</v>
        <stp/>
        <stp>BDP|12988439333705158871</stp>
        <tr r="G5" s="2"/>
      </tp>
      <tp t="s">
        <v>#N/A N/A</v>
        <stp/>
        <stp>BDP|17277596895431667275</stp>
        <tr r="L274" s="2"/>
      </tp>
      <tp t="s">
        <v>#N/A N/A</v>
        <stp/>
        <stp>BDP|10908653431904672948</stp>
        <tr r="G268" s="2"/>
      </tp>
      <tp t="s">
        <v>#N/A N/A</v>
        <stp/>
        <stp>BDP|15443936573780835327</stp>
        <tr r="E300" s="2"/>
      </tp>
      <tp t="s">
        <v>#N/A N/A</v>
        <stp/>
        <stp>BDP|15276244016967796995</stp>
        <tr r="D79" s="2"/>
      </tp>
      <tp t="s">
        <v>#N/A N/A</v>
        <stp/>
        <stp>BDP|14746981044619808829</stp>
        <tr r="H220" s="2"/>
      </tp>
      <tp t="s">
        <v>#N/A N/A</v>
        <stp/>
        <stp>BDP|17659281400495908869</stp>
        <tr r="H237" s="2"/>
      </tp>
      <tp t="s">
        <v>#N/A N/A</v>
        <stp/>
        <stp>BDP|13586102748787955950</stp>
        <tr r="D277" s="2"/>
      </tp>
      <tp t="s">
        <v>#N/A Requesting Data...4292980435</v>
        <stp/>
        <stp>BDP|16970497894960499318</stp>
        <tr r="H13" s="1"/>
        <tr r="F86" s="2"/>
      </tp>
      <tp t="s">
        <v>#N/A N/A</v>
        <stp/>
        <stp>BDP|13518293859734426808</stp>
        <tr r="G258" s="2"/>
      </tp>
      <tp t="s">
        <v>#N/A N/A</v>
        <stp/>
        <stp>BDP|18368270722632248259</stp>
        <tr r="I191" s="2"/>
      </tp>
      <tp t="s">
        <v>#N/A Requesting Data...4291199271</v>
        <stp/>
        <stp>BDP|17982988761336877699</stp>
        <tr r="H17" s="1"/>
        <tr r="F109" s="2"/>
      </tp>
      <tp t="s">
        <v>#N/A N/A</v>
        <stp/>
        <stp>BDP|17701519616559484258</stp>
        <tr r="D65" s="2"/>
      </tp>
      <tp t="s">
        <v>#N/A N/A</v>
        <stp/>
        <stp>BDP|13867911230811998015</stp>
        <tr r="J213" s="2"/>
      </tp>
      <tp t="s">
        <v>#N/A N/A</v>
        <stp/>
        <stp>BDP|11348247437659813197</stp>
        <tr r="H251" s="2"/>
      </tp>
      <tp t="s">
        <v>#N/A N/A</v>
        <stp/>
        <stp>BDP|14844749482856733585</stp>
        <tr r="F24" s="2"/>
      </tp>
      <tp t="s">
        <v>#N/A N/A</v>
        <stp/>
        <stp>BDP|15235866102256766303</stp>
        <tr r="N162" s="2"/>
      </tp>
      <tp t="s">
        <v>#N/A N/A</v>
        <stp/>
        <stp>BDP|14766450099295273483</stp>
        <tr r="M8" s="2"/>
      </tp>
      <tp t="s">
        <v>#N/A N/A</v>
        <stp/>
        <stp>BDP|12598517694700652667</stp>
        <tr r="M112" s="2"/>
      </tp>
      <tp t="s">
        <v>#N/A N/A</v>
        <stp/>
        <stp>BDP|12153806351907810081</stp>
        <tr r="G313" s="2"/>
      </tp>
      <tp t="s">
        <v>#N/A N/A</v>
        <stp/>
        <stp>BDP|17093817011650434644</stp>
        <tr r="E14" s="2"/>
      </tp>
      <tp t="s">
        <v>#N/A N/A</v>
        <stp/>
        <stp>BDP|13442807862193666606</stp>
        <tr r="M309" s="2"/>
      </tp>
      <tp t="s">
        <v>#N/A N/A</v>
        <stp/>
        <stp>BDP|13630757843450079806</stp>
        <tr r="J73" s="2"/>
      </tp>
      <tp t="s">
        <v>#N/A Requesting Data...995277058</v>
        <stp/>
        <stp>BDP|10067214724058768023</stp>
        <tr r="N38" s="1"/>
        <tr r="L278" s="2"/>
      </tp>
      <tp t="s">
        <v>#N/A N/A</v>
        <stp/>
        <stp>BDP|11078586069229518347</stp>
        <tr r="K117" s="2"/>
      </tp>
      <tp t="s">
        <v>#N/A N/A</v>
        <stp/>
        <stp>BDP|17142222117058202459</stp>
        <tr r="M117" s="2"/>
      </tp>
      <tp t="s">
        <v>#N/A N/A</v>
        <stp/>
        <stp>BDP|11171970242506396246</stp>
        <tr r="D98" s="2"/>
      </tp>
      <tp t="s">
        <v>#N/A N/A</v>
        <stp/>
        <stp>BDP|12836459793002411596</stp>
        <tr r="L13" s="2"/>
      </tp>
      <tp t="s">
        <v>#N/A N/A</v>
        <stp/>
        <stp>BDP|10122828282870130831</stp>
        <tr r="J195" s="2"/>
      </tp>
      <tp t="s">
        <v>#N/A N/A</v>
        <stp/>
        <stp>BDP|14011695899317538464</stp>
        <tr r="N61" s="2"/>
      </tp>
      <tp t="s">
        <v>#N/A N/A</v>
        <stp/>
        <stp>BDP|14375172682381710420</stp>
        <tr r="L218" s="2"/>
      </tp>
      <tp t="s">
        <v>#N/A N/A</v>
        <stp/>
        <stp>BDP|10893184981479191834</stp>
        <tr r="D224" s="2"/>
      </tp>
      <tp t="s">
        <v>#N/A N/A</v>
        <stp/>
        <stp>BDP|13676835597148617268</stp>
        <tr r="J70" s="2"/>
      </tp>
      <tp t="s">
        <v>#N/A N/A</v>
        <stp/>
        <stp>BDP|12685827905811070338</stp>
        <tr r="M65" s="2"/>
      </tp>
      <tp t="s">
        <v>#N/A N/A</v>
        <stp/>
        <stp>BDP|18361738267709113840</stp>
        <tr r="C84" s="2"/>
      </tp>
      <tp t="s">
        <v>#N/A N/A</v>
        <stp/>
        <stp>BDP|12605696525006836804</stp>
        <tr r="K166" s="2"/>
      </tp>
      <tp t="s">
        <v>#N/A N/A</v>
        <stp/>
        <stp>BDP|12057878725406118667</stp>
        <tr r="H316" s="2"/>
      </tp>
      <tp t="s">
        <v>#N/A N/A</v>
        <stp/>
        <stp>BDP|11540953462695606312</stp>
        <tr r="H16" s="2"/>
      </tp>
      <tp t="s">
        <v>#N/A N/A</v>
        <stp/>
        <stp>BDP|13871657657601647991</stp>
        <tr r="K206" s="2"/>
      </tp>
      <tp t="s">
        <v>#N/A N/A</v>
        <stp/>
        <stp>BDP|17479469493903549116</stp>
        <tr r="M252" s="2"/>
      </tp>
      <tp t="s">
        <v>#N/A N/A</v>
        <stp/>
        <stp>BDP|11751534788503947705</stp>
        <tr r="L46" s="2"/>
      </tp>
      <tp t="s">
        <v>#N/A N/A</v>
        <stp/>
        <stp>BDP|14696647410478335352</stp>
        <tr r="D100" s="2"/>
      </tp>
      <tp t="s">
        <v>#N/A N/A</v>
        <stp/>
        <stp>BDP|15086110780601138541</stp>
        <tr r="L246" s="2"/>
      </tp>
      <tp t="s">
        <v>#N/A N/A</v>
        <stp/>
        <stp>BDP|14114645597066001568</stp>
        <tr r="C316" s="2"/>
      </tp>
      <tp t="s">
        <v>#N/A N/A</v>
        <stp/>
        <stp>BDP|14488628602842884882</stp>
        <tr r="H212" s="2"/>
      </tp>
      <tp t="s">
        <v>#N/A N/A</v>
        <stp/>
        <stp>BDP|16332752871957186922</stp>
        <tr r="F221" s="2"/>
      </tp>
      <tp t="s">
        <v>#N/A N/A</v>
        <stp/>
        <stp>BDP|17616928840925697768</stp>
        <tr r="E25" s="2"/>
      </tp>
      <tp t="s">
        <v>#N/A N/A</v>
        <stp/>
        <stp>BDP|15074772936089171045</stp>
        <tr r="C167" s="2"/>
      </tp>
      <tp t="s">
        <v>#N/A N/A</v>
        <stp/>
        <stp>BDP|14512085998584335125</stp>
        <tr r="F132" s="2"/>
      </tp>
      <tp t="s">
        <v>#N/A N/A</v>
        <stp/>
        <stp>BDP|15825721448857012951</stp>
        <tr r="I101" s="2"/>
      </tp>
      <tp t="s">
        <v>#N/A N/A</v>
        <stp/>
        <stp>BDP|12971353742108886517</stp>
        <tr r="L306" s="2"/>
      </tp>
      <tp t="s">
        <v>#N/A N/A</v>
        <stp/>
        <stp>BDP|10528714595221453728</stp>
        <tr r="E224" s="2"/>
      </tp>
      <tp t="s">
        <v>#N/A N/A</v>
        <stp/>
        <stp>BDP|14218838785698130420</stp>
        <tr r="D161" s="2"/>
      </tp>
      <tp t="s">
        <v>#N/A N/A</v>
        <stp/>
        <stp>BDP|17510675780810673138</stp>
        <tr r="K126" s="2"/>
      </tp>
      <tp t="s">
        <v>#N/A N/A</v>
        <stp/>
        <stp>BDP|16225045007019544730</stp>
        <tr r="M286" s="2"/>
      </tp>
      <tp t="s">
        <v>#N/A N/A</v>
        <stp/>
        <stp>BDP|10523810062027792168</stp>
        <tr r="K222" s="2"/>
      </tp>
      <tp t="s">
        <v>#N/A N/A</v>
        <stp/>
        <stp>BDP|11565322983706053434</stp>
        <tr r="E117" s="2"/>
      </tp>
      <tp t="s">
        <v>#N/A N/A</v>
        <stp/>
        <stp>BDP|11823071323693287899</stp>
        <tr r="M244" s="2"/>
      </tp>
      <tp t="s">
        <v>#N/A N/A</v>
        <stp/>
        <stp>BDP|17055664936288093263</stp>
        <tr r="G64" s="2"/>
      </tp>
      <tp t="s">
        <v>#N/A N/A</v>
        <stp/>
        <stp>BDP|16712294643630984822</stp>
        <tr r="E182" s="2"/>
      </tp>
      <tp t="s">
        <v>#N/A N/A</v>
        <stp/>
        <stp>BDP|16921384954010277810</stp>
        <tr r="N12" s="2"/>
      </tp>
      <tp t="s">
        <v>#N/A N/A</v>
        <stp/>
        <stp>BDP|17807944306403967556</stp>
        <tr r="L254" s="2"/>
      </tp>
      <tp t="s">
        <v>#N/A Requesting Data...1803002938</v>
        <stp/>
        <stp>BDP|14820596176469528744</stp>
        <tr r="E4" s="1"/>
        <tr r="C21" s="2"/>
      </tp>
      <tp t="s">
        <v>#N/A N/A</v>
        <stp/>
        <stp>BDP|13035209193528590803</stp>
        <tr r="H77" s="2"/>
      </tp>
      <tp t="s">
        <v>#N/A N/A</v>
        <stp/>
        <stp>BDP|10528562317754329811</stp>
        <tr r="K76" s="2"/>
      </tp>
      <tp t="s">
        <v>#N/A N/A</v>
        <stp/>
        <stp>BDP|12392397484307774701</stp>
        <tr r="C108" s="2"/>
      </tp>
      <tp t="s">
        <v>#N/A Requesting Data...729914411</v>
        <stp/>
        <stp>BDP|11970981011467927703</stp>
        <tr r="F40" s="1"/>
        <tr r="D297" s="2"/>
      </tp>
      <tp t="s">
        <v>#N/A N/A</v>
        <stp/>
        <stp>BDP|15903752986326726543</stp>
        <tr r="E285" s="2"/>
      </tp>
      <tp t="s">
        <v>#N/A N/A</v>
        <stp/>
        <stp>BDP|10110306782713806120</stp>
        <tr r="G166" s="2"/>
      </tp>
      <tp t="s">
        <v>#N/A N/A</v>
        <stp/>
        <stp>BDP|17723770048465642863</stp>
        <tr r="I310" s="2"/>
      </tp>
      <tp t="s">
        <v>#N/A N/A</v>
        <stp/>
        <stp>BDP|11037949257304873038</stp>
        <tr r="F202" s="2"/>
      </tp>
      <tp t="s">
        <v>#N/A N/A</v>
        <stp/>
        <stp>BDP|10953238897783563137</stp>
        <tr r="E305" s="2"/>
      </tp>
      <tp t="s">
        <v>#N/A N/A</v>
        <stp/>
        <stp>BDP|17657290376323262808</stp>
        <tr r="N273" s="2"/>
      </tp>
      <tp t="s">
        <v>#N/A N/A</v>
        <stp/>
        <stp>BDP|14557759682842907008</stp>
        <tr r="G13" s="2"/>
      </tp>
      <tp t="s">
        <v>#N/A N/A</v>
        <stp/>
        <stp>BDP|17648151709817192806</stp>
        <tr r="M61" s="2"/>
      </tp>
      <tp t="s">
        <v>#N/A N/A</v>
        <stp/>
        <stp>BDP|18163795016227316061</stp>
        <tr r="L196" s="2"/>
      </tp>
      <tp t="s">
        <v>#N/A N/A</v>
        <stp/>
        <stp>BDP|16652102603708986663</stp>
        <tr r="C87" s="2"/>
      </tp>
      <tp t="s">
        <v>#N/A N/A</v>
        <stp/>
        <stp>BDP|13192714454391943973</stp>
        <tr r="J87" s="2"/>
      </tp>
      <tp t="s">
        <v>#N/A N/A</v>
        <stp/>
        <stp>BDP|14600815549609021848</stp>
        <tr r="I97" s="2"/>
      </tp>
      <tp t="s">
        <v>#N/A N/A</v>
        <stp/>
        <stp>BDP|17283446168195366976</stp>
        <tr r="G80" s="2"/>
      </tp>
      <tp t="s">
        <v>#N/A N/A</v>
        <stp/>
        <stp>BDP|17459550487453887044</stp>
        <tr r="N119" s="2"/>
      </tp>
      <tp t="s">
        <v>#N/A N/A</v>
        <stp/>
        <stp>BDP|14196007882467087291</stp>
        <tr r="J199" s="2"/>
      </tp>
      <tp t="s">
        <v>#N/A N/A</v>
        <stp/>
        <stp>BDP|11804444316168707575</stp>
        <tr r="G229" s="2"/>
      </tp>
      <tp t="s">
        <v>#N/A N/A</v>
        <stp/>
        <stp>BDP|13505883546110427655</stp>
        <tr r="C151" s="2"/>
      </tp>
      <tp t="s">
        <v>#N/A N/A</v>
        <stp/>
        <stp>BDP|15106772915823774995</stp>
        <tr r="J144" s="2"/>
      </tp>
      <tp t="s">
        <v>#N/A N/A</v>
        <stp/>
        <stp>BDP|12211990662482481602</stp>
        <tr r="G161" s="2"/>
      </tp>
      <tp t="s">
        <v>#N/A Requesting Data...424320563</v>
        <stp/>
        <stp>BDP|13298708670813711987</stp>
        <tr r="N20" s="1"/>
        <tr r="L146" s="2"/>
      </tp>
      <tp t="s">
        <v>#N/A N/A</v>
        <stp/>
        <stp>BDP|10772933407610802067</stp>
        <tr r="L290" s="2"/>
      </tp>
      <tp t="s">
        <v>#N/A N/A</v>
        <stp/>
        <stp>BDP|11707997258414270091</stp>
        <tr r="N107" s="2"/>
      </tp>
      <tp t="s">
        <v>#N/A N/A</v>
        <stp/>
        <stp>BDP|17199455388624190618</stp>
        <tr r="C312" s="2"/>
      </tp>
      <tp t="s">
        <v>#N/A N/A</v>
        <stp/>
        <stp>BDP|17846558686980582322</stp>
        <tr r="H277" s="2"/>
      </tp>
      <tp t="e">
        <v>#N/A</v>
        <stp/>
        <stp>BDS|14757110230946152986</stp>
        <tr r="A3" s="2"/>
      </tp>
      <tp t="s">
        <v>#N/A Requesting Data...2078452022</v>
        <stp/>
        <stp>BDP|11042237924751228996</stp>
        <tr r="K9" s="1"/>
        <tr r="I42" s="2"/>
      </tp>
      <tp t="s">
        <v>#N/A N/A</v>
        <stp/>
        <stp>BDP|14915954538647384081</stp>
        <tr r="L281" s="2"/>
      </tp>
      <tp t="s">
        <v>#N/A N/A</v>
        <stp/>
        <stp>BDP|17874896779131260059</stp>
        <tr r="I66" s="2"/>
      </tp>
      <tp t="s">
        <v>#N/A N/A</v>
        <stp/>
        <stp>BDP|11578878694451111886</stp>
        <tr r="I199" s="2"/>
      </tp>
      <tp t="s">
        <v>#N/A N/A</v>
        <stp/>
        <stp>BDP|15895965462804731741</stp>
        <tr r="L132" s="2"/>
      </tp>
      <tp t="s">
        <v>#N/A N/A</v>
        <stp/>
        <stp>BDP|17678073500068988667</stp>
        <tr r="I73" s="2"/>
      </tp>
      <tp t="s">
        <v>#N/A N/A</v>
        <stp/>
        <stp>BDP|10909729652493493838</stp>
        <tr r="N150" s="2"/>
      </tp>
      <tp t="s">
        <v>#N/A N/A</v>
        <stp/>
        <stp>BDP|14962906447840532059</stp>
        <tr r="I286" s="2"/>
      </tp>
      <tp t="s">
        <v>#N/A N/A</v>
        <stp/>
        <stp>BDP|14012847411770801431</stp>
        <tr r="K40" s="2"/>
      </tp>
      <tp t="s">
        <v>#N/A N/A</v>
        <stp/>
        <stp>BDP|16734831277242339219</stp>
        <tr r="L214" s="2"/>
      </tp>
      <tp t="s">
        <v>#N/A N/A</v>
        <stp/>
        <stp>BDP|17792975952160751241</stp>
        <tr r="C33" s="2"/>
      </tp>
      <tp t="s">
        <v>#N/A N/A</v>
        <stp/>
        <stp>BDP|12440719620056179853</stp>
        <tr r="E311" s="2"/>
      </tp>
      <tp t="s">
        <v>#N/A N/A</v>
        <stp/>
        <stp>BDP|12514225298863961375</stp>
        <tr r="G46" s="2"/>
      </tp>
      <tp t="s">
        <v>#N/A Requesting Data...2098077176</v>
        <stp/>
        <stp>BDP|18132522881659012538</stp>
        <tr r="L15" s="1"/>
        <tr r="J93" s="2"/>
      </tp>
      <tp t="s">
        <v>#N/A N/A</v>
        <stp/>
        <stp>BDP|10191535420458046632</stp>
        <tr r="K147" s="2"/>
      </tp>
      <tp t="s">
        <v>#N/A N/A</v>
        <stp/>
        <stp>BDP|10633507133678292766</stp>
        <tr r="G30" s="2"/>
      </tp>
      <tp t="s">
        <v>#N/A N/A</v>
        <stp/>
        <stp>BDP|10652151680991361117</stp>
        <tr r="D134" s="2"/>
      </tp>
      <tp t="s">
        <v>#N/A N/A</v>
        <stp/>
        <stp>BDP|18053095866636707195</stp>
        <tr r="H47" s="2"/>
      </tp>
      <tp t="s">
        <v>#N/A N/A</v>
        <stp/>
        <stp>BDP|10666036467408640751</stp>
        <tr r="G122" s="2"/>
      </tp>
      <tp t="s">
        <v>#N/A N/A</v>
        <stp/>
        <stp>BDP|13457465489767272184</stp>
        <tr r="J259" s="2"/>
      </tp>
      <tp t="s">
        <v>#N/A N/A</v>
        <stp/>
        <stp>BDP|15188037472498834380</stp>
        <tr r="E118" s="2"/>
      </tp>
      <tp t="s">
        <v>#N/A N/A</v>
        <stp/>
        <stp>BDP|16764550095852086170</stp>
        <tr r="C9" s="2"/>
      </tp>
      <tp t="s">
        <v>#N/A N/A</v>
        <stp/>
        <stp>BDP|15866842009720673431</stp>
        <tr r="E258" s="2"/>
      </tp>
      <tp t="s">
        <v>#N/A N/A</v>
        <stp/>
        <stp>BDP|17578871403183506579</stp>
        <tr r="F248" s="2"/>
      </tp>
      <tp t="s">
        <v>#N/A Requesting Data...1928118278</v>
        <stp/>
        <stp>BDP|12758928736673530255</stp>
        <tr r="I40" s="1"/>
        <tr r="G297" s="2"/>
      </tp>
      <tp t="s">
        <v>#N/A Requesting Data...3684295523</v>
        <stp/>
        <stp>BDP|12397866824725620448</stp>
        <tr r="O20" s="1"/>
        <tr r="M146" s="2"/>
      </tp>
      <tp t="s">
        <v>#N/A N/A</v>
        <stp/>
        <stp>BDP|11979709498062509466</stp>
        <tr r="D64" s="2"/>
      </tp>
      <tp t="s">
        <v>#N/A N/A</v>
        <stp/>
        <stp>BDP|14111664291896667424</stp>
        <tr r="C153" s="2"/>
      </tp>
      <tp t="s">
        <v>#N/A Requesting Data...589621079</v>
        <stp/>
        <stp>BDP|16367969962520799021</stp>
        <tr r="F13" s="1"/>
        <tr r="D86" s="2"/>
      </tp>
      <tp t="s">
        <v>#N/A N/A</v>
        <stp/>
        <stp>BDP|10183157875697501869</stp>
        <tr r="L156" s="2"/>
      </tp>
      <tp t="s">
        <v>#N/A N/A</v>
        <stp/>
        <stp>BDP|18026740279301856074</stp>
        <tr r="M241" s="2"/>
      </tp>
      <tp t="s">
        <v>#N/A N/A</v>
        <stp/>
        <stp>BDP|16450939780458642646</stp>
        <tr r="L63" s="2"/>
      </tp>
      <tp t="s">
        <v>#N/A N/A</v>
        <stp/>
        <stp>BDP|17213215960183182974</stp>
        <tr r="F268" s="2"/>
      </tp>
      <tp t="s">
        <v>#N/A N/A</v>
        <stp/>
        <stp>BDP|13728457097793952498</stp>
        <tr r="C133" s="2"/>
      </tp>
      <tp t="s">
        <v>#N/A N/A</v>
        <stp/>
        <stp>BDP|12978910650120589780</stp>
        <tr r="L308" s="2"/>
      </tp>
      <tp t="s">
        <v>#N/A N/A</v>
        <stp/>
        <stp>BDP|15860989509490542593</stp>
        <tr r="K137" s="2"/>
      </tp>
      <tp t="s">
        <v>#N/A N/A</v>
        <stp/>
        <stp>BDP|14351649287727744423</stp>
        <tr r="M317" s="2"/>
      </tp>
      <tp t="s">
        <v>#N/A N/A</v>
        <stp/>
        <stp>BDP|12678625393746316214</stp>
        <tr r="M26" s="2"/>
      </tp>
      <tp t="s">
        <v>#N/A N/A</v>
        <stp/>
        <stp>BDP|11702678246428782244</stp>
        <tr r="I160" s="2"/>
      </tp>
      <tp t="s">
        <v>#N/A N/A</v>
        <stp/>
        <stp>BDP|14654387064241649991</stp>
        <tr r="M239" s="2"/>
      </tp>
      <tp t="s">
        <v>#N/A Requesting Data...3830711919</v>
        <stp/>
        <stp>BDP|11005987620761406295</stp>
        <tr r="N32" s="1"/>
        <tr r="L204" s="2"/>
      </tp>
      <tp t="s">
        <v>#N/A N/A</v>
        <stp/>
        <stp>BDP|12650320588023189396</stp>
        <tr r="M123" s="2"/>
      </tp>
      <tp t="s">
        <v>#N/A N/A</v>
        <stp/>
        <stp>BDP|12392166026669787108</stp>
        <tr r="G208" s="2"/>
      </tp>
      <tp t="s">
        <v>#N/A N/A</v>
        <stp/>
        <stp>BDP|12277449562149408040</stp>
        <tr r="I158" s="2"/>
      </tp>
      <tp t="s">
        <v>#N/A N/A</v>
        <stp/>
        <stp>BDP|11998856506519722996</stp>
        <tr r="M215" s="2"/>
      </tp>
      <tp t="s">
        <v>#N/A N/A</v>
        <stp/>
        <stp>BDP|15047173810528193427</stp>
        <tr r="C144" s="2"/>
      </tp>
      <tp t="s">
        <v>#N/A N/A</v>
        <stp/>
        <stp>BDP|14133248361840669965</stp>
        <tr r="E164" s="2"/>
      </tp>
      <tp t="s">
        <v>#N/A Requesting Data...3737680614</v>
        <stp/>
        <stp>BDP|15464329254838418221</stp>
        <tr r="H19" s="1"/>
        <tr r="F142" s="2"/>
      </tp>
      <tp t="s">
        <v>#N/A Requesting Data...3178933378</v>
        <stp/>
        <stp>BDP|15288116173969206360</stp>
        <tr r="M7" s="1"/>
        <tr r="K36" s="2"/>
      </tp>
      <tp t="s">
        <v>#N/A N/A</v>
        <stp/>
        <stp>BDP|10402371986634550645</stp>
        <tr r="F134" s="2"/>
      </tp>
      <tp t="s">
        <v>#N/A N/A</v>
        <stp/>
        <stp>BDP|15685302385040387745</stp>
        <tr r="F145" s="2"/>
      </tp>
      <tp t="s">
        <v>#N/A N/A</v>
        <stp/>
        <stp>BDP|13838239199216691704</stp>
        <tr r="L158" s="2"/>
      </tp>
      <tp t="s">
        <v>#N/A N/A</v>
        <stp/>
        <stp>BDP|14111852175921679306</stp>
        <tr r="I312" s="2"/>
      </tp>
      <tp t="s">
        <v>#N/A N/A</v>
        <stp/>
        <stp>BDP|10274725284684068239</stp>
        <tr r="C102" s="2"/>
      </tp>
      <tp t="s">
        <v>#N/A N/A</v>
        <stp/>
        <stp>BDP|16282645680792253335</stp>
        <tr r="F281" s="2"/>
      </tp>
      <tp t="s">
        <v>#N/A Requesting Data...592883705</v>
        <stp/>
        <stp>BDP|10116048545168361547</stp>
        <tr r="P36" s="1"/>
        <tr r="N260" s="2"/>
      </tp>
      <tp t="s">
        <v>#N/A N/A</v>
        <stp/>
        <stp>BDP|16057815958941742390</stp>
        <tr r="G257" s="2"/>
      </tp>
      <tp t="s">
        <v>#N/A N/A</v>
        <stp/>
        <stp>BDP|17115720724049254228</stp>
        <tr r="K256" s="2"/>
      </tp>
      <tp t="s">
        <v>#N/A N/A</v>
        <stp/>
        <stp>BDP|14518426509159142082</stp>
        <tr r="M50" s="2"/>
      </tp>
      <tp t="s">
        <v>#N/A N/A</v>
        <stp/>
        <stp>BDP|13581894377004957159</stp>
        <tr r="C37" s="2"/>
      </tp>
      <tp t="s">
        <v>#N/A Requesting Data...1215744383</v>
        <stp/>
        <stp>BDP|14809244538318441475</stp>
        <tr r="L21" s="1"/>
        <tr r="J148" s="2"/>
      </tp>
      <tp t="s">
        <v>#N/A N/A</v>
        <stp/>
        <stp>BDP|17974142491372218493</stp>
        <tr r="I314" s="2"/>
      </tp>
      <tp t="s">
        <v>#N/A N/A</v>
        <stp/>
        <stp>BDP|13687063273219581415</stp>
        <tr r="H242" s="2"/>
      </tp>
      <tp t="s">
        <v>#N/A N/A</v>
        <stp/>
        <stp>BDP|11573081146884987845</stp>
        <tr r="K104" s="2"/>
      </tp>
      <tp t="s">
        <v>#N/A N/A</v>
        <stp/>
        <stp>BDP|10895370430628844119</stp>
        <tr r="I67" s="2"/>
      </tp>
      <tp t="s">
        <v>#N/A N/A</v>
        <stp/>
        <stp>BDP|15205712094550814297</stp>
        <tr r="F183" s="2"/>
      </tp>
      <tp t="s">
        <v>#N/A N/A</v>
        <stp/>
        <stp>BDP|17534530471275681978</stp>
        <tr r="C311" s="2"/>
      </tp>
      <tp t="s">
        <v>#N/A N/A</v>
        <stp/>
        <stp>BDP|10526072948148421583</stp>
        <tr r="G52" s="2"/>
      </tp>
      <tp t="s">
        <v>#N/A N/A</v>
        <stp/>
        <stp>BDP|18228106773506700104</stp>
        <tr r="D310" s="2"/>
      </tp>
      <tp t="s">
        <v>#N/A N/A</v>
        <stp/>
        <stp>BDP|17696854758421139530</stp>
        <tr r="E94" s="2"/>
      </tp>
      <tp t="s">
        <v>#N/A N/A</v>
        <stp/>
        <stp>BDP|18409513250432415489</stp>
        <tr r="F216" s="2"/>
      </tp>
      <tp t="s">
        <v>#N/A N/A</v>
        <stp/>
        <stp>BDP|17491903569293265561</stp>
        <tr r="K39" s="2"/>
      </tp>
      <tp t="s">
        <v>#N/A N/A</v>
        <stp/>
        <stp>BDP|15041480810166245832</stp>
        <tr r="L101" s="2"/>
      </tp>
      <tp t="s">
        <v>#N/A N/A</v>
        <stp/>
        <stp>BDP|15415681773679613304</stp>
        <tr r="F211" s="2"/>
      </tp>
      <tp t="s">
        <v>#N/A N/A</v>
        <stp/>
        <stp>BDP|17861951206225672541</stp>
        <tr r="N305" s="2"/>
      </tp>
      <tp t="s">
        <v>#N/A N/A</v>
        <stp/>
        <stp>BDP|12377853969764236645</stp>
        <tr r="I40" s="2"/>
      </tp>
      <tp t="s">
        <v>#N/A N/A</v>
        <stp/>
        <stp>BDP|11259210040998922127</stp>
        <tr r="N296" s="2"/>
      </tp>
      <tp t="s">
        <v>#N/A N/A</v>
        <stp/>
        <stp>BDP|10917532398012870026</stp>
        <tr r="G296" s="2"/>
      </tp>
      <tp t="s">
        <v>#N/A N/A</v>
        <stp/>
        <stp>BDP|15133146799372566112</stp>
        <tr r="G291" s="2"/>
      </tp>
      <tp t="s">
        <v>#N/A N/A</v>
        <stp/>
        <stp>BDP|10008630989361345115</stp>
        <tr r="D99" s="2"/>
      </tp>
      <tp t="s">
        <v>#N/A N/A</v>
        <stp/>
        <stp>BDP|14676925104547964416</stp>
        <tr r="C259" s="2"/>
      </tp>
      <tp t="s">
        <v>#N/A N/A</v>
        <stp/>
        <stp>BDP|16623514504958994519</stp>
        <tr r="I164" s="2"/>
      </tp>
      <tp t="s">
        <v>#N/A N/A</v>
        <stp/>
        <stp>BDP|10707587355169791760</stp>
        <tr r="M35" s="2"/>
      </tp>
      <tp t="s">
        <v>#N/A N/A</v>
        <stp/>
        <stp>BDP|11611750697113788284</stp>
        <tr r="E41" s="2"/>
      </tp>
      <tp t="s">
        <v>#N/A Requesting Data...1246033102</v>
        <stp/>
        <stp>BDP|13250269132505513988</stp>
        <tr r="E25" s="1"/>
        <tr r="C176" s="2"/>
      </tp>
      <tp t="s">
        <v>#N/A Requesting Data...1883511664</v>
        <stp/>
        <stp>BDP|14660169896195403799</stp>
        <tr r="O16" s="1"/>
        <tr r="M95" s="2"/>
      </tp>
      <tp t="s">
        <v>#N/A N/A</v>
        <stp/>
        <stp>BDP|14516378289250947186</stp>
        <tr r="I100" s="2"/>
      </tp>
      <tp t="s">
        <v>#N/A N/A</v>
        <stp/>
        <stp>BDP|15478820148546489102</stp>
        <tr r="G248" s="2"/>
      </tp>
      <tp t="s">
        <v>#N/A N/A</v>
        <stp/>
        <stp>BDP|17965244825841236806</stp>
        <tr r="I13" s="2"/>
      </tp>
      <tp t="s">
        <v>#N/A N/A</v>
        <stp/>
        <stp>BDP|14137348598064230457</stp>
        <tr r="E37" s="2"/>
      </tp>
      <tp t="s">
        <v>#N/A N/A</v>
        <stp/>
        <stp>BDP|13586363869499817180</stp>
        <tr r="F156" s="2"/>
      </tp>
      <tp t="s">
        <v>#N/A N/A</v>
        <stp/>
        <stp>BDP|12917092655051677895</stp>
        <tr r="I33" s="2"/>
      </tp>
      <tp t="s">
        <v>#N/A N/A</v>
        <stp/>
        <stp>BDP|10679313640719469095</stp>
        <tr r="J61" s="2"/>
      </tp>
      <tp t="s">
        <v>#N/A N/A</v>
        <stp/>
        <stp>BDP|16333138628462000929</stp>
        <tr r="K212" s="2"/>
      </tp>
      <tp t="s">
        <v>#N/A N/A</v>
        <stp/>
        <stp>BDP|15778729025576299886</stp>
        <tr r="L147" s="2"/>
      </tp>
      <tp t="s">
        <v>#N/A Requesting Data...1034170486</v>
        <stp/>
        <stp>BDP|12192077548040461871</stp>
        <tr r="P20" s="1"/>
        <tr r="N146" s="2"/>
      </tp>
      <tp t="s">
        <v>#N/A N/A</v>
        <stp/>
        <stp>BDP|10858101776569460178</stp>
        <tr r="H154" s="2"/>
      </tp>
      <tp t="s">
        <v>#N/A N/A</v>
        <stp/>
        <stp>BDP|12520628851418931722</stp>
        <tr r="N59" s="2"/>
      </tp>
      <tp t="s">
        <v>#N/A N/A</v>
        <stp/>
        <stp>BDP|12342560869519699675</stp>
        <tr r="F7" s="2"/>
      </tp>
      <tp t="s">
        <v>#N/A N/A</v>
        <stp/>
        <stp>BDP|16805747426445619810</stp>
        <tr r="D256" s="2"/>
      </tp>
      <tp t="s">
        <v>#N/A N/A</v>
        <stp/>
        <stp>BDP|15904702705029714567</stp>
        <tr r="M228" s="2"/>
      </tp>
      <tp t="s">
        <v>#N/A Requesting Data...438560358</v>
        <stp/>
        <stp>BDP|18127389908205588095</stp>
        <tr r="F7" s="1"/>
        <tr r="D36" s="2"/>
      </tp>
      <tp t="s">
        <v>#N/A N/A</v>
        <stp/>
        <stp>BDP|13035820338663699503</stp>
        <tr r="H257" s="2"/>
      </tp>
      <tp t="s">
        <v>#N/A Requesting Data...3226108368</v>
        <stp/>
        <stp>BDP|11433488998784167695</stp>
        <tr r="M19" s="1"/>
        <tr r="K142" s="2"/>
      </tp>
      <tp t="s">
        <v>#N/A N/A</v>
        <stp/>
        <stp>BDP|14751481046413165948</stp>
        <tr r="F113" s="2"/>
      </tp>
      <tp t="s">
        <v>#N/A N/A</v>
        <stp/>
        <stp>BDP|13059974828544778247</stp>
        <tr r="D290" s="2"/>
      </tp>
      <tp t="s">
        <v>#N/A N/A</v>
        <stp/>
        <stp>BDP|13019096636607103919</stp>
        <tr r="C24" s="2"/>
      </tp>
      <tp t="s">
        <v>#N/A N/A</v>
        <stp/>
        <stp>BDP|10585051930128654592</stp>
        <tr r="L272" s="2"/>
      </tp>
      <tp t="s">
        <v>#N/A N/A</v>
        <stp/>
        <stp>BDP|16116884031947603410</stp>
        <tr r="D241" s="2"/>
      </tp>
      <tp t="s">
        <v>#N/A N/A</v>
        <stp/>
        <stp>BDP|12368962378475384719</stp>
        <tr r="L261" s="2"/>
      </tp>
      <tp t="s">
        <v>#N/A Requesting Data...3156000589</v>
        <stp/>
        <stp>BDP|15176669096385803176</stp>
        <tr r="I41" s="1"/>
        <tr r="G303" s="2"/>
      </tp>
      <tp t="s">
        <v>#N/A N/A</v>
        <stp/>
        <stp>BDP|13092591189225689588</stp>
        <tr r="N165" s="2"/>
      </tp>
      <tp t="s">
        <v>#N/A N/A</v>
        <stp/>
        <stp>BDP|12097622692407940476</stp>
        <tr r="M217" s="2"/>
      </tp>
      <tp t="s">
        <v>#N/A N/A</v>
        <stp/>
        <stp>BDP|10201076879340021925</stp>
        <tr r="D209" s="2"/>
      </tp>
      <tp t="s">
        <v>#N/A N/A</v>
        <stp/>
        <stp>BDP|17470207022781161891</stp>
        <tr r="N110" s="2"/>
      </tp>
      <tp t="s">
        <v>#N/A N/A</v>
        <stp/>
        <stp>BDP|14076803942096903050</stp>
        <tr r="L253" s="2"/>
      </tp>
      <tp t="s">
        <v>#N/A Requesting Data...3185151854</v>
        <stp/>
        <stp>BDP|15246313263928669670</stp>
        <tr r="H15" s="1"/>
        <tr r="F93" s="2"/>
      </tp>
      <tp t="s">
        <v>#N/A N/A</v>
        <stp/>
        <stp>BDP|18093311270215138711</stp>
        <tr r="E228" s="2"/>
      </tp>
      <tp t="s">
        <v>#N/A N/A</v>
        <stp/>
        <stp>BDP|14396295794786960760</stp>
        <tr r="J257" s="2"/>
      </tp>
      <tp t="s">
        <v>#N/A N/A</v>
        <stp/>
        <stp>BDP|16615793623164965948</stp>
        <tr r="F70" s="2"/>
      </tp>
      <tp t="s">
        <v>#N/A N/A</v>
        <stp/>
        <stp>BDP|12868948142264664599</stp>
        <tr r="H120" s="2"/>
      </tp>
      <tp t="s">
        <v>#N/A N/A</v>
        <stp/>
        <stp>BDP|17702941250553308615</stp>
        <tr r="L301" s="2"/>
      </tp>
      <tp t="s">
        <v>#N/A N/A</v>
        <stp/>
        <stp>BDP|16123900799231158985</stp>
        <tr r="H206" s="2"/>
      </tp>
      <tp t="s">
        <v>#N/A N/A</v>
        <stp/>
        <stp>BDP|13707822328273914456</stp>
        <tr r="G41" s="2"/>
      </tp>
      <tp t="s">
        <v>#N/A Requesting Data...749165593</v>
        <stp/>
        <stp>BDP|15708716886333608770</stp>
        <tr r="N26" s="1"/>
        <tr r="L180" s="2"/>
      </tp>
      <tp t="s">
        <v>#N/A N/A</v>
        <stp/>
        <stp>BDP|12577558074108567612</stp>
        <tr r="I257" s="2"/>
      </tp>
      <tp t="s">
        <v>#N/A N/A</v>
        <stp/>
        <stp>BDP|10040439890180708343</stp>
        <tr r="G285" s="2"/>
      </tp>
      <tp t="s">
        <v>#N/A N/A</v>
        <stp/>
        <stp>BDP|13852507289887740760</stp>
        <tr r="E232" s="2"/>
      </tp>
      <tp t="s">
        <v>#N/A N/A</v>
        <stp/>
        <stp>BDP|10259159099377786190</stp>
        <tr r="M240" s="2"/>
      </tp>
      <tp t="s">
        <v>#N/A N/A</v>
        <stp/>
        <stp>BDP|13892118429788285628</stp>
        <tr r="E43" s="2"/>
      </tp>
      <tp t="s">
        <v>#N/A N/A</v>
        <stp/>
        <stp>BDP|15790604094577480376</stp>
        <tr r="E24" s="2"/>
      </tp>
      <tp t="s">
        <v>#N/A N/A</v>
        <stp/>
        <stp>BDP|15325474385396110101</stp>
        <tr r="J224" s="2"/>
      </tp>
      <tp t="s">
        <v>#N/A N/A</v>
        <stp/>
        <stp>BDP|12907328228159024401</stp>
        <tr r="H3" s="2"/>
      </tp>
      <tp t="s">
        <v>#N/A N/A</v>
        <stp/>
        <stp>BDP|18229726908253391285</stp>
        <tr r="J173" s="2"/>
      </tp>
      <tp t="s">
        <v>#N/A N/A</v>
        <stp/>
        <stp>BDP|16842851609852704202</stp>
        <tr r="G114" s="2"/>
      </tp>
      <tp t="s">
        <v>#N/A N/A</v>
        <stp/>
        <stp>BDP|13784000642790417920</stp>
        <tr r="M9" s="2"/>
      </tp>
      <tp t="s">
        <v>#N/A N/A</v>
        <stp/>
        <stp>BDP|10571994966169070898</stp>
        <tr r="K195" s="2"/>
      </tp>
      <tp t="s">
        <v>#N/A N/A</v>
        <stp/>
        <stp>BDP|16046570592010434423</stp>
        <tr r="K295" s="2"/>
      </tp>
      <tp t="s">
        <v>#N/A Requesting Data...259887962</v>
        <stp/>
        <stp>BDP|12310943054697579749</stp>
        <tr r="M38" s="1"/>
        <tr r="K278" s="2"/>
      </tp>
      <tp t="s">
        <v>#N/A N/A</v>
        <stp/>
        <stp>BDP|16427980760490661782</stp>
        <tr r="J9" s="2"/>
      </tp>
      <tp t="s">
        <v>#N/A N/A</v>
        <stp/>
        <stp>BDP|13198579639208429396</stp>
        <tr r="J25" s="2"/>
      </tp>
      <tp t="s">
        <v>#N/A N/A</v>
        <stp/>
        <stp>BDP|13438563347125046971</stp>
        <tr r="M82" s="2"/>
      </tp>
      <tp t="s">
        <v>#N/A N/A</v>
        <stp/>
        <stp>BDP|13351245289916219193</stp>
        <tr r="E125" s="2"/>
      </tp>
      <tp t="s">
        <v>#N/A N/A</v>
        <stp/>
        <stp>BDP|13389708422820435800</stp>
        <tr r="D115" s="2"/>
      </tp>
      <tp t="s">
        <v>#N/A N/A</v>
        <stp/>
        <stp>BDP|13460886838783569548</stp>
        <tr r="D218" s="2"/>
      </tp>
      <tp t="s">
        <v>#N/A N/A</v>
        <stp/>
        <stp>BDP|18054512996892419860</stp>
        <tr r="K7" s="2"/>
      </tp>
      <tp t="s">
        <v>#N/A Requesting Data...959520973</v>
        <stp/>
        <stp>BDP|18116742700981320034</stp>
        <tr r="I19" s="1"/>
        <tr r="G142" s="2"/>
      </tp>
      <tp t="s">
        <v>#N/A N/A</v>
        <stp/>
        <stp>BDP|13229418886453155218</stp>
        <tr r="C32" s="2"/>
      </tp>
      <tp t="s">
        <v>#N/A N/A</v>
        <stp/>
        <stp>BDP|10283985079786585630</stp>
        <tr r="I249" s="2"/>
      </tp>
      <tp t="s">
        <v>#N/A N/A</v>
        <stp/>
        <stp>BDP|14450037497261747226</stp>
        <tr r="K219" s="2"/>
      </tp>
      <tp t="s">
        <v>#N/A N/A</v>
        <stp/>
        <stp>BDP|17301007647559154405</stp>
        <tr r="F123" s="2"/>
      </tp>
      <tp t="s">
        <v>#N/A N/A</v>
        <stp/>
        <stp>BDP|10292476064348680422</stp>
        <tr r="D137" s="2"/>
      </tp>
      <tp t="s">
        <v>#N/A N/A</v>
        <stp/>
        <stp>BDP|12784536700708884195</stp>
        <tr r="F81" s="2"/>
      </tp>
      <tp t="s">
        <v>#N/A N/A</v>
        <stp/>
        <stp>BDP|12615812101986223202</stp>
        <tr r="E19" s="2"/>
      </tp>
      <tp t="s">
        <v>#N/A N/A</v>
        <stp/>
        <stp>BDP|10775580481820864323</stp>
        <tr r="L67" s="2"/>
      </tp>
      <tp t="s">
        <v>#N/A N/A</v>
        <stp/>
        <stp>BDP|17103438885287615255</stp>
        <tr r="J45" s="2"/>
      </tp>
      <tp t="s">
        <v>#N/A Requesting Data...3684334416</v>
        <stp/>
        <stp>BDP|11136346601238314435</stp>
        <tr r="G11" s="1"/>
        <tr r="E78" s="2"/>
      </tp>
      <tp t="s">
        <v>#N/A N/A</v>
        <stp/>
        <stp>BDP|15563936312950187311</stp>
        <tr r="L266" s="2"/>
      </tp>
      <tp t="s">
        <v>#N/A N/A</v>
        <stp/>
        <stp>BDP|17846580313858310570</stp>
        <tr r="J212" s="2"/>
      </tp>
      <tp t="s">
        <v>#N/A Requesting Data...680770577</v>
        <stp/>
        <stp>BDP|18264717601840027158</stp>
        <tr r="M10" s="1"/>
        <tr r="K74" s="2"/>
      </tp>
      <tp t="s">
        <v>#N/A N/A</v>
        <stp/>
        <stp>BDP|12856632471465519880</stp>
        <tr r="L294" s="2"/>
      </tp>
      <tp t="s">
        <v>#N/A N/A</v>
        <stp/>
        <stp>BDP|14347262200831160938</stp>
        <tr r="H68" s="2"/>
      </tp>
      <tp t="s">
        <v>#N/A Requesting Data...1672044714</v>
        <stp/>
        <stp>BDP|12368073762199010310</stp>
        <tr r="G30" s="1"/>
        <tr r="E197" s="2"/>
      </tp>
      <tp t="s">
        <v>#N/A N/A</v>
        <stp/>
        <stp>BDP|11678028895391681700</stp>
        <tr r="M139" s="2"/>
      </tp>
      <tp t="s">
        <v>#N/A N/A</v>
        <stp/>
        <stp>BDP|13895110341758627087</stp>
        <tr r="F220" s="2"/>
      </tp>
      <tp t="s">
        <v>#N/A N/A</v>
        <stp/>
        <stp>BDP|14735115515779169348</stp>
        <tr r="I65" s="2"/>
      </tp>
      <tp t="s">
        <v>#N/A N/A</v>
        <stp/>
        <stp>BDP|11270851523202269703</stp>
        <tr r="L96" s="2"/>
      </tp>
      <tp t="s">
        <v>#N/A N/A</v>
        <stp/>
        <stp>BDP|17913951578594646345</stp>
        <tr r="M76" s="2"/>
      </tp>
      <tp t="s">
        <v>#N/A N/A</v>
        <stp/>
        <stp>BDP|16151433478452423878</stp>
        <tr r="K170" s="2"/>
      </tp>
      <tp t="s">
        <v>#N/A N/A</v>
        <stp/>
        <stp>BDP|16151447198750436408</stp>
        <tr r="C66" s="2"/>
      </tp>
      <tp t="s">
        <v>#N/A N/A</v>
        <stp/>
        <stp>BDP|13819605442368790649</stp>
        <tr r="F11" s="2"/>
      </tp>
      <tp t="s">
        <v>#N/A N/A</v>
        <stp/>
        <stp>BDP|15970063033159665035</stp>
        <tr r="N186" s="2"/>
      </tp>
      <tp t="s">
        <v>#N/A N/A</v>
        <stp/>
        <stp>BDP|16540829278926034063</stp>
        <tr r="K304" s="2"/>
      </tp>
      <tp t="s">
        <v>#N/A N/A</v>
        <stp/>
        <stp>BDP|14929321528272308895</stp>
        <tr r="L110" s="2"/>
      </tp>
      <tp t="s">
        <v>#N/A N/A</v>
        <stp/>
        <stp>BDP|18122847300926571985</stp>
        <tr r="K229" s="2"/>
      </tp>
      <tp t="s">
        <v>#N/A N/A</v>
        <stp/>
        <stp>BDP|18247227651644816417</stp>
        <tr r="F104" s="2"/>
      </tp>
      <tp t="s">
        <v>#N/A N/A</v>
        <stp/>
        <stp>BDP|11989050516036410968</stp>
        <tr r="G241" s="2"/>
      </tp>
      <tp t="s">
        <v>#N/A N/A</v>
        <stp/>
        <stp>BDP|12924661805568405362</stp>
        <tr r="E183" s="2"/>
      </tp>
      <tp t="s">
        <v>#N/A N/A</v>
        <stp/>
        <stp>BDP|15614878148067785165</stp>
        <tr r="J27" s="2"/>
      </tp>
      <tp t="s">
        <v>#N/A N/A</v>
        <stp/>
        <stp>BDP|17600823568871563723</stp>
        <tr r="K315" s="2"/>
      </tp>
      <tp t="s">
        <v>#N/A N/A</v>
        <stp/>
        <stp>BDP|18258473935564919420</stp>
        <tr r="H301" s="2"/>
      </tp>
      <tp t="s">
        <v>#N/A N/A</v>
        <stp/>
        <stp>BDP|10076436398291240322</stp>
        <tr r="J82" s="2"/>
      </tp>
      <tp t="s">
        <v>#N/A N/A</v>
        <stp/>
        <stp>BDP|17939348183602273163</stp>
        <tr r="C79" s="2"/>
      </tp>
      <tp t="s">
        <v>#N/A N/A</v>
        <stp/>
        <stp>BDP|13060288832574813986</stp>
        <tr r="G82" s="2"/>
      </tp>
      <tp t="s">
        <v>#N/A N/A</v>
        <stp/>
        <stp>BDP|12470593881123311358</stp>
        <tr r="D129" s="2"/>
      </tp>
      <tp t="s">
        <v>#N/A N/A</v>
        <stp/>
        <stp>BDP|14443368989583363323</stp>
        <tr r="J47" s="2"/>
      </tp>
      <tp t="s">
        <v>#N/A N/A</v>
        <stp/>
        <stp>BDP|14030254886498810914</stp>
        <tr r="G138" s="2"/>
      </tp>
      <tp t="s">
        <v>#N/A N/A</v>
        <stp/>
        <stp>BDP|11751126976828717090</stp>
        <tr r="L262" s="2"/>
      </tp>
      <tp t="s">
        <v>#N/A N/A</v>
        <stp/>
        <stp>BDP|12252723826269242199</stp>
        <tr r="K14" s="2"/>
      </tp>
      <tp t="s">
        <v>#N/A N/A</v>
        <stp/>
        <stp>BDP|13939493227839863323</stp>
        <tr r="N224" s="2"/>
      </tp>
      <tp t="s">
        <v>#N/A N/A</v>
        <stp/>
        <stp>BDP|15899600350490426912</stp>
        <tr r="K56" s="2"/>
      </tp>
      <tp t="s">
        <v>#N/A N/A</v>
        <stp/>
        <stp>BDP|13559763616942022881</stp>
        <tr r="G45" s="2"/>
      </tp>
      <tp t="s">
        <v>#N/A N/A</v>
        <stp/>
        <stp>BDP|13016876829063742542</stp>
        <tr r="D14" s="2"/>
      </tp>
      <tp t="s">
        <v>#N/A Requesting Data...1090344481</v>
        <stp/>
        <stp>BDP|15787824029069077900</stp>
        <tr r="P16" s="1"/>
        <tr r="N95" s="2"/>
      </tp>
      <tp t="s">
        <v>#N/A N/A</v>
        <stp/>
        <stp>BDP|14364892477687533348</stp>
        <tr r="C267" s="2"/>
      </tp>
      <tp t="s">
        <v>#N/A N/A</v>
        <stp/>
        <stp>BDP|14424220964819677680</stp>
        <tr r="N170" s="2"/>
      </tp>
      <tp t="s">
        <v>#N/A N/A</v>
        <stp/>
        <stp>BDP|15433884605836066455</stp>
        <tr r="K82" s="2"/>
      </tp>
      <tp t="s">
        <v>#N/A N/A</v>
        <stp/>
        <stp>BDP|12185992246331516174</stp>
        <tr r="H15" s="2"/>
      </tp>
      <tp t="s">
        <v>#N/A N/A</v>
        <stp/>
        <stp>BDP|16772959755390372589</stp>
        <tr r="C162" s="2"/>
      </tp>
      <tp t="s">
        <v>#N/A N/A</v>
        <stp/>
        <stp>BDP|13755278775991158883</stp>
        <tr r="I229" s="2"/>
      </tp>
      <tp t="s">
        <v>#N/A Requesting Data...1924007141</v>
        <stp/>
        <stp>BDP|13449463030149925274</stp>
        <tr r="G12" s="1"/>
        <tr r="E85" s="2"/>
      </tp>
      <tp t="s">
        <v>#N/A Requesting Data...1099177857</v>
        <stp/>
        <stp>BDP|18067878478380532869</stp>
        <tr r="O33" s="1"/>
        <tr r="M223" s="2"/>
      </tp>
      <tp t="s">
        <v>#N/A Requesting Data...1447148225</v>
        <stp/>
        <stp>BDP|17390670089934156200</stp>
        <tr r="E13" s="1"/>
        <tr r="C86" s="2"/>
      </tp>
      <tp t="s">
        <v>#N/A N/A</v>
        <stp/>
        <stp>BDP|16880577393246686360</stp>
        <tr r="D4" s="2"/>
      </tp>
      <tp t="s">
        <v>#N/A N/A</v>
        <stp/>
        <stp>BDP|14857629625778799746</stp>
        <tr r="H227" s="2"/>
      </tp>
      <tp t="s">
        <v>#N/A N/A</v>
        <stp/>
        <stp>BDP|11126161644992882976</stp>
        <tr r="C137" s="2"/>
      </tp>
      <tp t="s">
        <v>#N/A N/A</v>
        <stp/>
        <stp>BDP|13131078288017770363</stp>
        <tr r="C213" s="2"/>
      </tp>
      <tp t="s">
        <v>#N/A N/A</v>
        <stp/>
        <stp>BDP|18161046311812263490</stp>
        <tr r="C30" s="2"/>
      </tp>
      <tp t="s">
        <v>#N/A N/A</v>
        <stp/>
        <stp>BDP|10294977974999697880</stp>
        <tr r="J239" s="2"/>
      </tp>
      <tp t="s">
        <v>#N/A N/A</v>
        <stp/>
        <stp>BDP|10198614066096198987</stp>
        <tr r="C53" s="2"/>
      </tp>
      <tp t="s">
        <v>#N/A N/A</v>
        <stp/>
        <stp>BDP|16795781743038683253</stp>
        <tr r="I172" s="2"/>
      </tp>
      <tp t="s">
        <v>#N/A N/A</v>
        <stp/>
        <stp>BDP|12815307669391735994</stp>
        <tr r="M136" s="2"/>
      </tp>
      <tp t="s">
        <v>#N/A N/A</v>
        <stp/>
        <stp>BDP|14868927837754502577</stp>
        <tr r="I71" s="2"/>
      </tp>
      <tp t="s">
        <v>#N/A N/A</v>
        <stp/>
        <stp>BDP|12905598763496838854</stp>
        <tr r="L112" s="2"/>
      </tp>
      <tp t="s">
        <v>#N/A N/A</v>
        <stp/>
        <stp>BDP|14419202899861505162</stp>
        <tr r="J126" s="2"/>
      </tp>
      <tp t="s">
        <v>#N/A N/A</v>
        <stp/>
        <stp>BDP|12480059056750164888</stp>
        <tr r="N215" s="2"/>
      </tp>
      <tp t="s">
        <v>#N/A N/A</v>
        <stp/>
        <stp>BDP|11929869807654360255</stp>
        <tr r="D73" s="2"/>
      </tp>
      <tp t="s">
        <v>#N/A N/A</v>
        <stp/>
        <stp>BDP|13730355267828368189</stp>
        <tr r="H281" s="2"/>
      </tp>
      <tp t="s">
        <v>#N/A N/A</v>
        <stp/>
        <stp>BDP|12806803226026820181</stp>
        <tr r="N72" s="2"/>
      </tp>
      <tp t="s">
        <v>#N/A N/A</v>
        <stp/>
        <stp>BDP|10060148116958493776</stp>
        <tr r="C83" s="2"/>
      </tp>
      <tp t="s">
        <v>#N/A Requesting Data...3303582323</v>
        <stp/>
        <stp>BDP|10029841026821150423</stp>
        <tr r="F24" s="1"/>
        <tr r="D157" s="2"/>
      </tp>
      <tp t="s">
        <v>#N/A N/A</v>
        <stp/>
        <stp>BDP|14199965567863168700</stp>
        <tr r="I271" s="2"/>
      </tp>
      <tp t="s">
        <v>#N/A N/A</v>
        <stp/>
        <stp>BDP|16988192097718699901</stp>
        <tr r="J201" s="2"/>
      </tp>
      <tp t="s">
        <v>#N/A N/A</v>
        <stp/>
        <stp>BDP|10580897444661882215</stp>
        <tr r="N111" s="2"/>
      </tp>
      <tp t="s">
        <v>#N/A N/A</v>
        <stp/>
        <stp>BDP|11009566315593331914</stp>
        <tr r="F228" s="2"/>
      </tp>
      <tp t="s">
        <v>#N/A N/A</v>
        <stp/>
        <stp>BDP|11136227251999729054</stp>
        <tr r="K184" s="2"/>
      </tp>
      <tp t="s">
        <v>#N/A N/A</v>
        <stp/>
        <stp>BDP|15799142456257146947</stp>
        <tr r="D216" s="2"/>
      </tp>
      <tp t="s">
        <v>#N/A Requesting Data...2454004159</v>
        <stp/>
        <stp>BDP|15162917101890874392</stp>
        <tr r="H39" s="1"/>
        <tr r="F282" s="2"/>
      </tp>
      <tp t="s">
        <v>#N/A N/A</v>
        <stp/>
        <stp>BDP|11638702082173307273</stp>
        <tr r="M6" s="2"/>
      </tp>
      <tp t="s">
        <v>#N/A N/A</v>
        <stp/>
        <stp>BDP|12533904031671732631</stp>
        <tr r="D249" s="2"/>
      </tp>
      <tp t="s">
        <v>#N/A N/A</v>
        <stp/>
        <stp>BDP|15308924977063148772</stp>
        <tr r="J219" s="2"/>
      </tp>
      <tp t="s">
        <v>#N/A N/A</v>
        <stp/>
        <stp>BDP|17016371789612615185</stp>
        <tr r="H175" s="2"/>
      </tp>
      <tp t="s">
        <v>#N/A N/A</v>
        <stp/>
        <stp>BDP|14752694919778332445</stp>
        <tr r="N191" s="2"/>
      </tp>
      <tp t="s">
        <v>#N/A Requesting Data...3272975690</v>
        <stp/>
        <stp>BDP|10132551096787553477</stp>
        <tr r="O22" s="1"/>
        <tr r="M152" s="2"/>
      </tp>
      <tp t="s">
        <v>#N/A N/A</v>
        <stp/>
        <stp>BDP|14537523681985044368</stp>
        <tr r="F175" s="2"/>
      </tp>
      <tp t="s">
        <v>#N/A N/A</v>
        <stp/>
        <stp>BDP|11748892704257939132</stp>
        <tr r="M186" s="2"/>
      </tp>
      <tp t="s">
        <v>#N/A N/A</v>
        <stp/>
        <stp>BDP|17552516437979621763</stp>
        <tr r="G43" s="2"/>
      </tp>
      <tp t="s">
        <v>#N/A N/A</v>
        <stp/>
        <stp>BDP|10838029060519024092</stp>
        <tr r="F37" s="2"/>
      </tp>
      <tp t="s">
        <v>#N/A N/A</v>
        <stp/>
        <stp>BDP|10727856503165182232</stp>
        <tr r="D26" s="2"/>
      </tp>
      <tp t="s">
        <v>#N/A N/A</v>
        <stp/>
        <stp>BDP|13873241594064239399</stp>
        <tr r="J158" s="2"/>
      </tp>
      <tp t="s">
        <v>#N/A N/A</v>
        <stp/>
        <stp>BDP|17707837914096552761</stp>
        <tr r="E135" s="2"/>
      </tp>
      <tp t="s">
        <v>#N/A N/A</v>
        <stp/>
        <stp>BDP|10302812052426411475</stp>
        <tr r="I103" s="2"/>
      </tp>
      <tp t="s">
        <v>#N/A N/A</v>
        <stp/>
        <stp>BDP|13796568071819635745</stp>
        <tr r="J101" s="2"/>
      </tp>
      <tp t="s">
        <v>#N/A N/A</v>
        <stp/>
        <stp>BDP|14282741594702619762</stp>
        <tr r="D266" s="2"/>
      </tp>
      <tp t="s">
        <v>#N/A Requesting Data...2515400720</v>
        <stp/>
        <stp>BDP|11750796986229896824</stp>
        <tr r="O12" s="1"/>
        <tr r="M85" s="2"/>
      </tp>
      <tp t="s">
        <v>#N/A N/A</v>
        <stp/>
        <stp>BDP|10697869400764227309</stp>
        <tr r="K231" s="2"/>
      </tp>
      <tp t="s">
        <v>#N/A N/A</v>
        <stp/>
        <stp>BDP|15603287268019522715</stp>
        <tr r="K316" s="2"/>
      </tp>
      <tp t="s">
        <v>#N/A N/A</v>
        <stp/>
        <stp>BDP|17490457893963836682</stp>
        <tr r="G237" s="2"/>
      </tp>
      <tp t="s">
        <v>#N/A N/A</v>
        <stp/>
        <stp>BDP|12150873755225854595</stp>
        <tr r="H217" s="2"/>
      </tp>
      <tp t="s">
        <v>#N/A N/A</v>
        <stp/>
        <stp>BDP|13896822709905684101</stp>
        <tr r="E271" s="2"/>
      </tp>
      <tp t="s">
        <v>#N/A N/A</v>
        <stp/>
        <stp>BDP|13710449499460839170</stp>
        <tr r="H187" s="2"/>
      </tp>
      <tp t="s">
        <v>#N/A N/A</v>
        <stp/>
        <stp>BDP|15184171354336358843</stp>
        <tr r="E75" s="2"/>
      </tp>
      <tp t="s">
        <v>#N/A N/A</v>
        <stp/>
        <stp>BDP|11269326994402268633</stp>
        <tr r="J293" s="2"/>
      </tp>
      <tp t="s">
        <v>#N/A N/A</v>
        <stp/>
        <stp>BDP|10634202722059683679</stp>
        <tr r="K270" s="2"/>
      </tp>
      <tp t="s">
        <v>#N/A N/A</v>
        <stp/>
        <stp>BDP|15892697361328584205</stp>
        <tr r="M149" s="2"/>
      </tp>
      <tp t="s">
        <v>#N/A N/A</v>
        <stp/>
        <stp>BDP|11534977076571368121</stp>
        <tr r="I230" s="2"/>
      </tp>
      <tp t="s">
        <v>#N/A N/A</v>
        <stp/>
        <stp>BDP|12156525262186452801</stp>
        <tr r="L102" s="2"/>
      </tp>
      <tp t="s">
        <v>#N/A N/A</v>
        <stp/>
        <stp>BDP|14300526695706010115</stp>
        <tr r="E210" s="2"/>
      </tp>
      <tp t="s">
        <v>#N/A N/A</v>
        <stp/>
        <stp>BDP|17831231853667490899</stp>
        <tr r="E314" s="2"/>
      </tp>
      <tp t="s">
        <v>#N/A N/A</v>
        <stp/>
        <stp>BDP|16700373923418146077</stp>
        <tr r="I244" s="2"/>
      </tp>
      <tp t="s">
        <v>#N/A N/A</v>
        <stp/>
        <stp>BDP|13560457585437398725</stp>
        <tr r="J110" s="2"/>
      </tp>
      <tp t="s">
        <v>#N/A N/A</v>
        <stp/>
        <stp>BDP|11383272422999580773</stp>
        <tr r="C46" s="2"/>
      </tp>
      <tp t="s">
        <v>#N/A N/A</v>
        <stp/>
        <stp>BDP|11582423165635133976</stp>
        <tr r="J184" s="2"/>
      </tp>
      <tp t="s">
        <v>#N/A N/A</v>
        <stp/>
        <stp>BDP|10993661509409060027</stp>
        <tr r="M307" s="2"/>
      </tp>
      <tp t="s">
        <v>#N/A N/A</v>
        <stp/>
        <stp>BDP|16705072093891538129</stp>
        <tr r="I129" s="2"/>
      </tp>
      <tp t="s">
        <v>#N/A N/A</v>
        <stp/>
        <stp>BDP|16088866962871602661</stp>
        <tr r="I76" s="2"/>
      </tp>
      <tp t="s">
        <v>#N/A N/A</v>
        <stp/>
        <stp>BDP|14698891971241159585</stp>
        <tr r="C264" s="2"/>
      </tp>
      <tp t="s">
        <v>#N/A Requesting Data...2586611710</v>
        <stp/>
        <stp>BDP|14920520828194496802</stp>
        <tr r="K26" s="1"/>
        <tr r="I180" s="2"/>
      </tp>
      <tp t="s">
        <v>#N/A N/A</v>
        <stp/>
        <stp>BDP|16066557391033080636</stp>
        <tr r="K25" s="2"/>
      </tp>
      <tp t="s">
        <v>#N/A N/A</v>
        <stp/>
        <stp>BDP|13652839012544364131</stp>
        <tr r="N174" s="2"/>
      </tp>
      <tp t="s">
        <v>#N/A N/A</v>
        <stp/>
        <stp>BDP|18303375037201538619</stp>
        <tr r="H179" s="2"/>
      </tp>
      <tp t="s">
        <v>#N/A N/A</v>
        <stp/>
        <stp>BDP|15417245927042047803</stp>
        <tr r="E123" s="2"/>
      </tp>
      <tp t="s">
        <v>#N/A N/A</v>
        <stp/>
        <stp>BDP|14674501776401217850</stp>
        <tr r="J98" s="2"/>
      </tp>
      <tp t="s">
        <v>#N/A N/A</v>
        <stp/>
        <stp>BDP|10289008984235845295</stp>
        <tr r="E208" s="2"/>
      </tp>
      <tp t="s">
        <v>#N/A N/A</v>
        <stp/>
        <stp>BDP|14753242304689023001</stp>
        <tr r="J189" s="2"/>
      </tp>
      <tp t="s">
        <v>#N/A Requesting Data...2479415268</v>
        <stp/>
        <stp>BDP|16016972152500069520</stp>
        <tr r="K35" s="1"/>
        <tr r="I243" s="2"/>
      </tp>
      <tp t="s">
        <v>#N/A N/A</v>
        <stp/>
        <stp>BDP|14637112233841629840</stp>
        <tr r="N199" s="2"/>
      </tp>
      <tp t="s">
        <v>#N/A N/A</v>
        <stp/>
        <stp>BDP|15912468259318660365</stp>
        <tr r="I151" s="2"/>
      </tp>
      <tp t="s">
        <v>#N/A N/A</v>
        <stp/>
        <stp>BDP|16062371420221422958</stp>
        <tr r="E47" s="2"/>
      </tp>
      <tp t="s">
        <v>#N/A N/A</v>
        <stp/>
        <stp>BDP|10233860097788430615</stp>
        <tr r="D89" s="2"/>
      </tp>
      <tp t="s">
        <v>#N/A N/A</v>
        <stp/>
        <stp>BDP|14747022552857597945</stp>
        <tr r="N79" s="2"/>
      </tp>
      <tp t="s">
        <v>#N/A N/A</v>
        <stp/>
        <stp>BDP|10271875277094299469</stp>
        <tr r="M87" s="2"/>
      </tp>
      <tp t="s">
        <v>#N/A N/A</v>
        <stp/>
        <stp>BDP|11323251756429200046</stp>
        <tr r="K257" s="2"/>
      </tp>
      <tp t="s">
        <v>#N/A N/A</v>
        <stp/>
        <stp>BDP|17810550620197379887</stp>
        <tr r="L61" s="2"/>
      </tp>
      <tp t="s">
        <v>#N/A N/A</v>
        <stp/>
        <stp>BDP|13658796963334821922</stp>
        <tr r="M158" s="2"/>
      </tp>
      <tp t="s">
        <v>#N/A N/A</v>
        <stp/>
        <stp>BDP|15999400944762938829</stp>
        <tr r="N304" s="2"/>
      </tp>
      <tp t="s">
        <v>#N/A N/A</v>
        <stp/>
        <stp>BDP|16043218121391730818</stp>
        <tr r="F130" s="2"/>
      </tp>
      <tp t="s">
        <v>#N/A N/A</v>
        <stp/>
        <stp>BDP|17614979978263797678</stp>
        <tr r="H144" s="2"/>
      </tp>
      <tp t="s">
        <v>#N/A N/A</v>
        <stp/>
        <stp>BDP|14510808961251421791</stp>
        <tr r="K114" s="2"/>
      </tp>
      <tp t="s">
        <v>#N/A N/A</v>
        <stp/>
        <stp>BDP|17883763993074719135</stp>
        <tr r="M221" s="2"/>
      </tp>
      <tp t="s">
        <v>#N/A N/A</v>
        <stp/>
        <stp>BDP|15457682185365658267</stp>
        <tr r="G96" s="2"/>
      </tp>
      <tp t="s">
        <v>#N/A N/A</v>
        <stp/>
        <stp>BDP|10152268914868804721</stp>
        <tr r="N126" s="2"/>
      </tp>
      <tp t="s">
        <v>#N/A N/A</v>
        <stp/>
        <stp>BDP|13577097491954717226</stp>
        <tr r="I215" s="2"/>
      </tp>
      <tp t="s">
        <v>#N/A N/A</v>
        <stp/>
        <stp>BDP|12879867053730549304</stp>
        <tr r="L195" s="2"/>
      </tp>
      <tp t="s">
        <v>#N/A Requesting Data...360350467</v>
        <stp/>
        <stp>BDP|16404056810578819321</stp>
        <tr r="F21" s="1"/>
        <tr r="D148" s="2"/>
      </tp>
      <tp t="s">
        <v>#N/A N/A</v>
        <stp/>
        <stp>BDP|17064545718546033967</stp>
        <tr r="N280" s="2"/>
      </tp>
      <tp t="s">
        <v>#N/A N/A</v>
        <stp/>
        <stp>BDP|15899901810875611438</stp>
        <tr r="F311" s="2"/>
      </tp>
      <tp t="s">
        <v>#N/A N/A</v>
        <stp/>
        <stp>BDP|17651197455176370949</stp>
        <tr r="N128" s="2"/>
      </tp>
      <tp t="s">
        <v>#N/A N/A</v>
        <stp/>
        <stp>BDP|10643960898315041952</stp>
        <tr r="I288" s="2"/>
      </tp>
      <tp t="s">
        <v>#N/A Requesting Data...3129117159</v>
        <stp/>
        <stp>BDP|10792256582823816551</stp>
        <tr r="K3" s="1"/>
        <tr r="I20" s="2"/>
      </tp>
      <tp t="s">
        <v>#N/A N/A</v>
        <stp/>
        <stp>BDP|14125181581622368366</stp>
        <tr r="I245" s="2"/>
      </tp>
      <tp t="s">
        <v>#N/A N/A</v>
        <stp/>
        <stp>BDP|14969188617561321996</stp>
        <tr r="C64" s="2"/>
      </tp>
      <tp t="s">
        <v>#N/A N/A</v>
        <stp/>
        <stp>BDP|14611422306855779992</stp>
        <tr r="N37" s="2"/>
      </tp>
      <tp t="s">
        <v>#N/A N/A</v>
        <stp/>
        <stp>BDP|14886066763487989982</stp>
        <tr r="G10" s="2"/>
      </tp>
      <tp t="s">
        <v>#N/A N/A</v>
        <stp/>
        <stp>BDP|17322890133715218572</stp>
        <tr r="E23" s="2"/>
      </tp>
      <tp t="s">
        <v>#N/A Requesting Data...1460602281</v>
        <stp/>
        <stp>BDP|16954875405735556727</stp>
        <tr r="J11" s="1"/>
        <tr r="H78" s="2"/>
      </tp>
      <tp t="s">
        <v>#N/A N/A</v>
        <stp/>
        <stp>BDP|14995807253090031569</stp>
        <tr r="M150" s="2"/>
      </tp>
      <tp t="s">
        <v>#N/A N/A</v>
        <stp/>
        <stp>BDP|12930744083740197102</stp>
        <tr r="M226" s="2"/>
      </tp>
      <tp t="s">
        <v>#N/A N/A</v>
        <stp/>
        <stp>BDP|11953936963865148776</stp>
        <tr r="J3" s="2"/>
      </tp>
      <tp t="s">
        <v>#N/A N/A</v>
        <stp/>
        <stp>BDP|17568166889231654338</stp>
        <tr r="L73" s="2"/>
      </tp>
      <tp t="s">
        <v>#N/A N/A</v>
        <stp/>
        <stp>BDP|12910047244972768815</stp>
        <tr r="K177" s="2"/>
      </tp>
      <tp t="s">
        <v>#N/A N/A</v>
        <stp/>
        <stp>BDP|16306097820990689835</stp>
        <tr r="H32" s="2"/>
      </tp>
      <tp t="s">
        <v>#N/A N/A</v>
        <stp/>
        <stp>BDP|18397448559733057610</stp>
        <tr r="C11" s="2"/>
      </tp>
      <tp t="s">
        <v>#N/A N/A</v>
        <stp/>
        <stp>BDP|11273230197197053191</stp>
        <tr r="C307" s="2"/>
      </tp>
      <tp t="s">
        <v>#N/A N/A</v>
        <stp/>
        <stp>BDP|13933028024628924598</stp>
        <tr r="I137" s="2"/>
      </tp>
      <tp t="s">
        <v>#N/A N/A</v>
        <stp/>
        <stp>BDP|11948760967458220454</stp>
        <tr r="E145" s="2"/>
      </tp>
      <tp t="s">
        <v>#N/A Requesting Data...518358658</v>
        <stp/>
        <stp>BDP|14359389132009308158</stp>
        <tr r="E33" s="1"/>
        <tr r="C223" s="2"/>
      </tp>
      <tp t="s">
        <v>#N/A N/A</v>
        <stp/>
        <stp>BDP|10028184582937056240</stp>
        <tr r="I296" s="2"/>
      </tp>
      <tp t="s">
        <v>#N/A N/A</v>
        <stp/>
        <stp>BDP|16136949979243662748</stp>
        <tr r="J107" s="2"/>
      </tp>
      <tp t="s">
        <v>#N/A N/A</v>
        <stp/>
        <stp>BDP|11835446490516125637</stp>
        <tr r="F41" s="2"/>
      </tp>
      <tp t="s">
        <v>#N/A N/A</v>
        <stp/>
        <stp>BDP|17865313021142141875</stp>
        <tr r="G239" s="2"/>
      </tp>
      <tp t="s">
        <v>#N/A N/A</v>
        <stp/>
        <stp>BDP|12169924751497478579</stp>
        <tr r="M147" s="2"/>
      </tp>
      <tp t="s">
        <v>#N/A N/A</v>
        <stp/>
        <stp>BDP|15049922565813276541</stp>
        <tr r="I241" s="2"/>
      </tp>
      <tp t="s">
        <v>#N/A N/A</v>
        <stp/>
        <stp>BDP|12500399297042345691</stp>
        <tr r="L72" s="2"/>
      </tp>
      <tp t="s">
        <v>#N/A N/A</v>
        <stp/>
        <stp>BDP|12333358166902519940</stp>
        <tr r="C171" s="2"/>
      </tp>
      <tp t="s">
        <v>#N/A N/A</v>
        <stp/>
        <stp>BDP|11670673757328220657</stp>
        <tr r="L59" s="2"/>
      </tp>
      <tp t="s">
        <v>#N/A N/A</v>
        <stp/>
        <stp>BDP|18295519025205550625</stp>
        <tr r="M259" s="2"/>
      </tp>
      <tp t="s">
        <v>#N/A N/A</v>
        <stp/>
        <stp>BDP|11927293236499764502</stp>
        <tr r="J232" s="2"/>
      </tp>
      <tp t="s">
        <v>#N/A N/A</v>
        <stp/>
        <stp>BDP|17405374995801486033</stp>
        <tr r="D120" s="2"/>
      </tp>
      <tp t="s">
        <v>#N/A N/A</v>
        <stp/>
        <stp>BDP|12445154581293059412</stp>
        <tr r="N226" s="2"/>
      </tp>
      <tp t="s">
        <v>#N/A N/A</v>
        <stp/>
        <stp>BDP|16464958052845719353</stp>
        <tr r="J312" s="2"/>
      </tp>
      <tp t="s">
        <v>#N/A N/A</v>
        <stp/>
        <stp>BDP|16554174221880236913</stp>
        <tr r="C207" s="2"/>
      </tp>
      <tp t="s">
        <v>#N/A Requesting Data...1151604688</v>
        <stp/>
        <stp>BDP|11093564797447234603</stp>
        <tr r="L20" s="1"/>
        <tr r="J146" s="2"/>
      </tp>
      <tp t="s">
        <v>#N/A N/A</v>
        <stp/>
        <stp>BDP|13245379989545876170</stp>
        <tr r="N153" s="2"/>
      </tp>
      <tp t="s">
        <v>#N/A N/A</v>
        <stp/>
        <stp>BDP|11149925520754003209</stp>
        <tr r="I37" s="2"/>
      </tp>
      <tp t="s">
        <v>#N/A N/A</v>
        <stp/>
        <stp>BDP|10083096481705955122</stp>
        <tr r="N105" s="2"/>
      </tp>
      <tp t="s">
        <v>#N/A N/A</v>
        <stp/>
        <stp>BDP|14571641331268358502</stp>
        <tr r="D191" s="2"/>
      </tp>
      <tp t="s">
        <v>#N/A N/A</v>
        <stp/>
        <stp>BDP|17855953725326377681</stp>
        <tr r="I219" s="2"/>
      </tp>
      <tp t="s">
        <v>#N/A N/A</v>
        <stp/>
        <stp>BDP|17775030783592447107</stp>
        <tr r="J240" s="2"/>
      </tp>
      <tp t="s">
        <v>#N/A N/A</v>
        <stp/>
        <stp>BDP|10619904682614105962</stp>
        <tr r="D281" s="2"/>
      </tp>
      <tp t="s">
        <v>#N/A Requesting Data...3052051865</v>
        <stp/>
        <stp>BDP|14143856651243245645</stp>
        <tr r="I11" s="1"/>
        <tr r="G78" s="2"/>
      </tp>
      <tp t="s">
        <v>#N/A N/A</v>
        <stp/>
        <stp>BDP|15599073840608530549</stp>
        <tr r="D116" s="2"/>
      </tp>
      <tp t="s">
        <v>#N/A N/A</v>
        <stp/>
        <stp>BDP|15572045879876385887</stp>
        <tr r="K160" s="2"/>
      </tp>
      <tp t="s">
        <v>#N/A Requesting Data...3513604049</v>
        <stp/>
        <stp>BDP|10550978320671102612</stp>
        <tr r="E32" s="1"/>
        <tr r="C204" s="2"/>
      </tp>
      <tp t="s">
        <v>#N/A N/A</v>
        <stp/>
        <stp>BDP|13287574657407132813</stp>
        <tr r="I27" s="2"/>
      </tp>
      <tp t="s">
        <v>#N/A N/A</v>
        <stp/>
        <stp>BDP|11311552183933207355</stp>
        <tr r="M310" s="2"/>
      </tp>
      <tp t="s">
        <v>#N/A N/A</v>
        <stp/>
        <stp>BDP|15042427460638952393</stp>
        <tr r="H73" s="2"/>
      </tp>
      <tp t="s">
        <v>#N/A N/A</v>
        <stp/>
        <stp>BDP|13839365417719938422</stp>
        <tr r="J5" s="2"/>
      </tp>
      <tp t="s">
        <v>#N/A N/A</v>
        <stp/>
        <stp>BDP|16367047977459568475</stp>
        <tr r="L249" s="2"/>
      </tp>
      <tp t="s">
        <v>#N/A N/A</v>
        <stp/>
        <stp>BDP|13739279482684530125</stp>
        <tr r="G129" s="2"/>
      </tp>
      <tp t="s">
        <v>#N/A N/A</v>
        <stp/>
        <stp>BDP|15565919146195529126</stp>
        <tr r="N47" s="2"/>
      </tp>
      <tp t="s">
        <v>#N/A Requesting Data...2437077539</v>
        <stp/>
        <stp>BDP|16063032163475142947</stp>
        <tr r="L31" s="1"/>
        <tr r="J200" s="2"/>
      </tp>
      <tp t="s">
        <v>#N/A N/A</v>
        <stp/>
        <stp>BDP|17763427480354138310</stp>
        <tr r="G216" s="2"/>
      </tp>
      <tp t="s">
        <v>#N/A N/A</v>
        <stp/>
        <stp>BDP|16355345501699720042</stp>
        <tr r="G164" s="2"/>
      </tp>
      <tp t="s">
        <v>#N/A N/A</v>
        <stp/>
        <stp>BDP|12061895022174774090</stp>
        <tr r="M164" s="2"/>
      </tp>
      <tp t="s">
        <v>#N/A N/A</v>
        <stp/>
        <stp>BDP|11885068634789960778</stp>
        <tr r="C253" s="2"/>
      </tp>
      <tp t="s">
        <v>#N/A N/A</v>
        <stp/>
        <stp>BDP|11459988848604301435</stp>
        <tr r="D15" s="2"/>
      </tp>
      <tp t="s">
        <v>#N/A N/A</v>
        <stp/>
        <stp>BDP|14195023291953168278</stp>
        <tr r="D139" s="2"/>
      </tp>
      <tp t="s">
        <v>#N/A N/A</v>
        <stp/>
        <stp>BDP|18014324154994518640</stp>
        <tr r="M23" s="2"/>
      </tp>
      <tp t="s">
        <v>#N/A Requesting Data...3778660822</v>
        <stp/>
        <stp>BDP|16016439046599690346</stp>
        <tr r="H20" s="1"/>
        <tr r="F146" s="2"/>
      </tp>
      <tp t="s">
        <v>#N/A N/A</v>
        <stp/>
        <stp>BDP|12357568484704696701</stp>
        <tr r="I224" s="2"/>
      </tp>
      <tp t="s">
        <v>#N/A N/A</v>
        <stp/>
        <stp>BDP|15870794205377223912</stp>
        <tr r="I72" s="2"/>
      </tp>
      <tp t="s">
        <v>#N/A N/A</v>
        <stp/>
        <stp>BDP|10815573188874810594</stp>
        <tr r="C101" s="2"/>
      </tp>
      <tp t="s">
        <v>#N/A N/A</v>
        <stp/>
        <stp>BDP|12786860896889602673</stp>
        <tr r="K242" s="2"/>
      </tp>
      <tp t="s">
        <v>#N/A N/A</v>
        <stp/>
        <stp>BDP|13704708937899740217</stp>
        <tr r="L12" s="2"/>
      </tp>
      <tp t="s">
        <v>#N/A N/A</v>
        <stp/>
        <stp>BDP|18323066445359262942</stp>
        <tr r="I242" s="2"/>
      </tp>
      <tp t="s">
        <v>#N/A N/A</v>
        <stp/>
        <stp>BDP|15843542682774034080</stp>
        <tr r="F149" s="2"/>
      </tp>
      <tp t="s">
        <v>#N/A N/A</v>
        <stp/>
        <stp>BDP|10443017903555673960</stp>
        <tr r="L33" s="2"/>
      </tp>
      <tp t="s">
        <v>#N/A N/A</v>
        <stp/>
        <stp>BDP|11895458798001532162</stp>
        <tr r="D135" s="2"/>
      </tp>
      <tp t="s">
        <v>#N/A N/A</v>
        <stp/>
        <stp>BDP|15762023991878680843</stp>
        <tr r="N53" s="2"/>
      </tp>
      <tp t="s">
        <v>#N/A N/A</v>
        <stp/>
        <stp>BDP|14627618694213587406</stp>
        <tr r="H304" s="2"/>
      </tp>
      <tp t="s">
        <v>#N/A N/A</v>
        <stp/>
        <stp>BDP|10794947007190552481</stp>
        <tr r="I247" s="2"/>
      </tp>
      <tp t="s">
        <v>#N/A N/A</v>
        <stp/>
        <stp>BDP|12542956183959870723</stp>
        <tr r="J8" s="2"/>
      </tp>
      <tp t="s">
        <v>#N/A N/A</v>
        <stp/>
        <stp>BDP|12209801479167390718</stp>
        <tr r="K59" s="2"/>
      </tp>
      <tp t="s">
        <v>#N/A N/A</v>
        <stp/>
        <stp>BDP|13170315467042706993</stp>
        <tr r="D41" s="2"/>
      </tp>
      <tp t="s">
        <v>#N/A N/A</v>
        <stp/>
        <stp>BDP|11734776784226525585</stp>
        <tr r="E198" s="2"/>
      </tp>
      <tp t="s">
        <v>#N/A N/A</v>
        <stp/>
        <stp>BDP|18050774956324185382</stp>
        <tr r="K216" s="2"/>
      </tp>
      <tp t="s">
        <v>#N/A N/A</v>
        <stp/>
        <stp>BDP|16668848183332050997</stp>
        <tr r="C224" s="2"/>
      </tp>
      <tp t="s">
        <v>#N/A N/A</v>
        <stp/>
        <stp>BDP|18300144776252894125</stp>
        <tr r="E80" s="2"/>
      </tp>
      <tp t="s">
        <v>#N/A N/A</v>
        <stp/>
        <stp>BDP|13558448474579778491</stp>
        <tr r="G75" s="2"/>
      </tp>
      <tp t="s">
        <v>#N/A N/A</v>
        <stp/>
        <stp>BDP|11094833679330076313</stp>
        <tr r="D271" s="2"/>
      </tp>
      <tp t="s">
        <v>#N/A N/A</v>
        <stp/>
        <stp>BDP|15654900282500801972</stp>
        <tr r="C218" s="2"/>
      </tp>
      <tp t="s">
        <v>#N/A N/A</v>
        <stp/>
        <stp>BDP|12254892975841422104</stp>
        <tr r="J208" s="2"/>
      </tp>
      <tp t="s">
        <v>#N/A Requesting Data...677677282</v>
        <stp/>
        <stp>BDP|16797481890894615233</stp>
        <tr r="N7" s="1"/>
        <tr r="L36" s="2"/>
      </tp>
      <tp t="s">
        <v>#N/A N/A</v>
        <stp/>
        <stp>BDP|11472322573770954866</stp>
        <tr r="L119" s="2"/>
      </tp>
      <tp t="s">
        <v>#N/A N/A</v>
        <stp/>
        <stp>BDP|13514099396253645468</stp>
        <tr r="M17" s="2"/>
      </tp>
      <tp t="s">
        <v>#N/A N/A</v>
        <stp/>
        <stp>BDP|12721315014615604899</stp>
        <tr r="K230" s="2"/>
      </tp>
      <tp t="s">
        <v>#N/A N/A</v>
        <stp/>
        <stp>BDP|13539651777528327798</stp>
        <tr r="I292" s="2"/>
      </tp>
      <tp t="s">
        <v>#N/A N/A</v>
        <stp/>
        <stp>BDP|18109088519485865156</stp>
        <tr r="C69" s="2"/>
      </tp>
      <tp t="s">
        <v>#N/A N/A</v>
        <stp/>
        <stp>BDP|16794781342839386134</stp>
        <tr r="C195" s="2"/>
      </tp>
      <tp t="s">
        <v>#N/A N/A</v>
        <stp/>
        <stp>BDP|15259055999349777845</stp>
        <tr r="J89" s="2"/>
      </tp>
      <tp t="s">
        <v>#N/A N/A</v>
        <stp/>
        <stp>BDP|14032847212779271992</stp>
        <tr r="D94" s="2"/>
      </tp>
      <tp t="s">
        <v>#N/A N/A</v>
        <stp/>
        <stp>BDP|10079393864370555848</stp>
        <tr r="C228" s="2"/>
      </tp>
      <tp t="s">
        <v>#N/A N/A</v>
        <stp/>
        <stp>BDP|17130838128325354555</stp>
        <tr r="I277" s="2"/>
      </tp>
      <tp t="s">
        <v>#N/A Requesting Data...936258006</v>
        <stp/>
        <stp>BDP|15726824888900080819</stp>
        <tr r="O27" s="1"/>
        <tr r="M181" s="2"/>
      </tp>
      <tp t="s">
        <v>#N/A N/A</v>
        <stp/>
        <stp>BDP|16096289164077867886</stp>
        <tr r="G120" s="2"/>
      </tp>
      <tp t="s">
        <v>#N/A N/A</v>
        <stp/>
        <stp>BDP|16186714785034881014</stp>
        <tr r="I64" s="2"/>
      </tp>
      <tp t="s">
        <v>#N/A N/A</v>
        <stp/>
        <stp>BDP|16714213199186536665</stp>
        <tr r="N277" s="2"/>
      </tp>
      <tp t="s">
        <v>#N/A N/A</v>
        <stp/>
        <stp>BDP|14825418258368671080</stp>
        <tr r="J308" s="2"/>
      </tp>
      <tp t="s">
        <v>#N/A N/A</v>
        <stp/>
        <stp>BDP|16721380836589407226</stp>
        <tr r="D160" s="2"/>
      </tp>
      <tp t="s">
        <v>#N/A N/A</v>
        <stp/>
        <stp>BDP|10313368079801129823</stp>
        <tr r="C236" s="2"/>
      </tp>
      <tp t="s">
        <v>#N/A Requesting Data...4027838145</v>
        <stp/>
        <stp>BDP|15555033229718351232</stp>
        <tr r="I34" s="1"/>
        <tr r="G233" s="2"/>
      </tp>
      <tp t="s">
        <v>#N/A N/A</v>
        <stp/>
        <stp>BDP|16351781869503859952</stp>
        <tr r="C80" s="2"/>
      </tp>
      <tp t="s">
        <v>#N/A N/A</v>
        <stp/>
        <stp>BDP|18370183512945408037</stp>
        <tr r="F184" s="2"/>
      </tp>
      <tp t="s">
        <v>#N/A N/A</v>
        <stp/>
        <stp>BDP|14291668948948041325</stp>
        <tr r="M137" s="2"/>
      </tp>
      <tp t="s">
        <v>#N/A N/A</v>
        <stp/>
        <stp>BDP|14626590520607796965</stp>
        <tr r="D71" s="2"/>
      </tp>
      <tp t="s">
        <v>#N/A N/A</v>
        <stp/>
        <stp>BDP|13002998192278116643</stp>
        <tr r="M229" s="2"/>
      </tp>
      <tp t="s">
        <v>#N/A N/A</v>
        <stp/>
        <stp>BDP|17651946106113370096</stp>
        <tr r="F215" s="2"/>
      </tp>
      <tp t="s">
        <v>#N/A N/A</v>
        <stp/>
        <stp>BDP|12357982325135241126</stp>
        <tr r="L178" s="2"/>
      </tp>
      <tp t="s">
        <v>#N/A N/A</v>
        <stp/>
        <stp>BDP|10730067995937659331</stp>
        <tr r="G48" s="2"/>
      </tp>
      <tp t="s">
        <v>#N/A N/A</v>
        <stp/>
        <stp>BDP|16640579443669665352</stp>
        <tr r="J134" s="2"/>
      </tp>
      <tp t="s">
        <v>#N/A N/A</v>
        <stp/>
        <stp>BDP|13227959027497017210</stp>
        <tr r="E79" s="2"/>
      </tp>
      <tp t="s">
        <v>#N/A N/A</v>
        <stp/>
        <stp>BDP|14679048243029700472</stp>
        <tr r="J23" s="2"/>
      </tp>
      <tp t="s">
        <v>#N/A N/A</v>
        <stp/>
        <stp>BDP|16855951523183764380</stp>
        <tr r="N198" s="2"/>
      </tp>
      <tp t="s">
        <v>#N/A N/A</v>
        <stp/>
        <stp>BDP|18220818243049418058</stp>
        <tr r="G125" s="2"/>
      </tp>
      <tp t="s">
        <v>#N/A Requesting Data...4052133438</v>
        <stp/>
        <stp>BDP|17309149278109904578</stp>
        <tr r="E35" s="1"/>
        <tr r="C243" s="2"/>
      </tp>
      <tp t="s">
        <v>#N/A Requesting Data...4291709373</v>
        <stp/>
        <stp>BDP|15344106583801970088</stp>
        <tr r="O26" s="1"/>
        <tr r="M180" s="2"/>
      </tp>
      <tp t="s">
        <v>#N/A N/A</v>
        <stp/>
        <stp>BDP|10855076692173881755</stp>
        <tr r="H35" s="2"/>
      </tp>
      <tp t="s">
        <v>#N/A N/A</v>
        <stp/>
        <stp>BDP|13232878142782440034</stp>
        <tr r="C140" s="2"/>
      </tp>
      <tp t="s">
        <v>#N/A N/A</v>
        <stp/>
        <stp>BDP|10116193511505942800</stp>
        <tr r="F76" s="2"/>
      </tp>
      <tp t="s">
        <v>#N/A N/A</v>
        <stp/>
        <stp>BDP|12072830560821185021</stp>
        <tr r="K4" s="2"/>
      </tp>
      <tp t="s">
        <v>#N/A N/A</v>
        <stp/>
        <stp>BDP|17127112356406061858</stp>
        <tr r="L228" s="2"/>
      </tp>
      <tp t="s">
        <v>#N/A N/A</v>
        <stp/>
        <stp>BDP|15684875611764773544</stp>
        <tr r="E33" s="2"/>
      </tp>
      <tp t="s">
        <v>#N/A N/A</v>
        <stp/>
        <stp>BDP|15795802074380855785</stp>
        <tr r="E280" s="2"/>
      </tp>
      <tp t="s">
        <v>#N/A N/A</v>
        <stp/>
        <stp>BDP|13747002698832421595</stp>
        <tr r="E286" s="2"/>
      </tp>
      <tp t="s">
        <v>#N/A N/A</v>
        <stp/>
        <stp>BDP|16783180013533819864</stp>
        <tr r="F65" s="2"/>
      </tp>
      <tp t="s">
        <v>#N/A N/A</v>
        <stp/>
        <stp>BDP|13457589284022958135</stp>
        <tr r="K64" s="2"/>
      </tp>
      <tp t="s">
        <v>#N/A N/A</v>
        <stp/>
        <stp>BDP|13189378989813536687</stp>
        <tr r="I53" s="2"/>
      </tp>
      <tp t="s">
        <v>#N/A N/A</v>
        <stp/>
        <stp>BDP|15908416395276636391</stp>
        <tr r="E220" s="2"/>
      </tp>
      <tp t="s">
        <v>#N/A N/A</v>
        <stp/>
        <stp>BDP|14867161819749554000</stp>
        <tr r="J307" s="2"/>
      </tp>
      <tp t="s">
        <v>#N/A N/A</v>
        <stp/>
        <stp>BDP|17146933187302436932</stp>
        <tr r="I246" s="2"/>
      </tp>
      <tp t="s">
        <v>#N/A N/A</v>
        <stp/>
        <stp>BDP|11819952128974602360</stp>
        <tr r="F59" s="2"/>
      </tp>
      <tp t="s">
        <v>#N/A Requesting Data...2625203967</v>
        <stp/>
        <stp>BDP|14658661851732710838</stp>
        <tr r="F3" s="1"/>
        <tr r="D20" s="2"/>
      </tp>
      <tp t="s">
        <v>#N/A N/A</v>
        <stp/>
        <stp>BDP|13943270500019302587</stp>
        <tr r="K245" s="2"/>
      </tp>
      <tp t="s">
        <v>#N/A Requesting Data...3342285424</v>
        <stp/>
        <stp>BDP|11464780254226909843</stp>
        <tr r="M20" s="1"/>
        <tr r="K146" s="2"/>
      </tp>
      <tp t="s">
        <v>#N/A N/A</v>
        <stp/>
        <stp>BDP|10896985051092036348</stp>
        <tr r="E6" s="2"/>
      </tp>
      <tp t="s">
        <v>#N/A N/A</v>
        <stp/>
        <stp>BDP|16012730593625172047</stp>
        <tr r="J56" s="2"/>
      </tp>
      <tp t="s">
        <v>#N/A N/A</v>
        <stp/>
        <stp>BDP|17279605096472698778</stp>
        <tr r="J283" s="2"/>
      </tp>
      <tp t="s">
        <v>#N/A N/A</v>
        <stp/>
        <stp>BDP|18094307673327492621</stp>
        <tr r="N316" s="2"/>
      </tp>
      <tp t="s">
        <v>#N/A N/A</v>
        <stp/>
        <stp>BDP|16577658802495084869</stp>
        <tr r="L185" s="2"/>
      </tp>
      <tp t="s">
        <v>#N/A N/A</v>
        <stp/>
        <stp>BDP|15698065931532029953</stp>
        <tr r="G314" s="2"/>
      </tp>
      <tp t="s">
        <v>#N/A N/A</v>
        <stp/>
        <stp>BDP|16589365987491689169</stp>
        <tr r="G25" s="2"/>
      </tp>
      <tp t="s">
        <v>#N/A N/A</v>
        <stp/>
        <stp>BDP|16656868843331724603</stp>
        <tr r="H267" s="2"/>
      </tp>
      <tp t="s">
        <v>#N/A N/A</v>
        <stp/>
        <stp>BDP|15162194651739405596</stp>
        <tr r="F230" s="2"/>
      </tp>
      <tp t="s">
        <v>#N/A N/A</v>
        <stp/>
        <stp>BDP|15635154493444777432</stp>
        <tr r="F28" s="2"/>
      </tp>
      <tp t="s">
        <v>#N/A N/A</v>
        <stp/>
        <stp>BDP|10794241242228679338</stp>
        <tr r="H266" s="2"/>
      </tp>
      <tp t="s">
        <v>#N/A Requesting Data...2434397491</v>
        <stp/>
        <stp>BDP|15264208905202586860</stp>
        <tr r="F12" s="1"/>
        <tr r="D85" s="2"/>
      </tp>
      <tp t="s">
        <v>#N/A N/A</v>
        <stp/>
        <stp>BDP|10660959941361705127</stp>
        <tr r="D58" s="2"/>
      </tp>
      <tp t="s">
        <v>#N/A Requesting Data...925885228</v>
        <stp/>
        <stp>BDP|17799156620101665833</stp>
        <tr r="I8" s="1"/>
        <tr r="G38" s="2"/>
      </tp>
      <tp t="s">
        <v>#N/A N/A</v>
        <stp/>
        <stp>BDP|16451208588450963127</stp>
        <tr r="E171" s="2"/>
      </tp>
      <tp t="s">
        <v>#N/A N/A</v>
        <stp/>
        <stp>BDP|12589760799767492698</stp>
        <tr r="L145" s="2"/>
      </tp>
      <tp t="s">
        <v>#N/A N/A</v>
        <stp/>
        <stp>BDP|17512561142083692804</stp>
        <tr r="N289" s="2"/>
      </tp>
      <tp t="s">
        <v>#N/A N/A</v>
        <stp/>
        <stp>BDP|13957588516918626261</stp>
        <tr r="L194" s="2"/>
      </tp>
      <tp t="s">
        <v>#N/A N/A</v>
        <stp/>
        <stp>BDP|15047644795167420025</stp>
        <tr r="J120" s="2"/>
      </tp>
      <tp t="s">
        <v>#N/A N/A</v>
        <stp/>
        <stp>BDP|13317854446006101463</stp>
        <tr r="G265" s="2"/>
      </tp>
      <tp t="s">
        <v>#N/A N/A</v>
        <stp/>
        <stp>BDP|15272112983758468928</stp>
        <tr r="D296" s="2"/>
      </tp>
      <tp t="s">
        <v>#N/A N/A</v>
        <stp/>
        <stp>BDP|17576430751122023917</stp>
        <tr r="F9" s="2"/>
      </tp>
      <tp t="s">
        <v>#N/A N/A</v>
        <stp/>
        <stp>BDP|14954486587515266021</stp>
        <tr r="G288" s="2"/>
      </tp>
      <tp t="s">
        <v>#N/A N/A</v>
        <stp/>
        <stp>BDP|11763839077443634038</stp>
        <tr r="N237" s="2"/>
      </tp>
      <tp t="s">
        <v>#N/A N/A</v>
        <stp/>
        <stp>BDP|13095001525164042839</stp>
        <tr r="I23" s="2"/>
      </tp>
      <tp t="s">
        <v>#N/A N/A</v>
        <stp/>
        <stp>BDP|10113111071250980411</stp>
        <tr r="N288" s="2"/>
      </tp>
      <tp t="s">
        <v>#N/A N/A</v>
        <stp/>
        <stp>BDP|16187240707297800132</stp>
        <tr r="D194" s="2"/>
      </tp>
      <tp t="s">
        <v>#N/A N/A</v>
        <stp/>
        <stp>BDP|10831223582641668971</stp>
        <tr r="C227" s="2"/>
      </tp>
      <tp t="s">
        <v>#N/A N/A</v>
        <stp/>
        <stp>BDP|12207359569781499436</stp>
        <tr r="H139" s="2"/>
      </tp>
      <tp t="s">
        <v>#N/A N/A</v>
        <stp/>
        <stp>BDP|14840774841715324042</stp>
        <tr r="I116" s="2"/>
      </tp>
      <tp t="s">
        <v>#N/A N/A</v>
        <stp/>
        <stp>BDP|13972572133377523011</stp>
        <tr r="N246" s="2"/>
      </tp>
      <tp t="s">
        <v>#N/A N/A</v>
        <stp/>
        <stp>BDP|15078217447900771197</stp>
        <tr r="N13" s="2"/>
      </tp>
      <tp t="s">
        <v>#N/A N/A</v>
        <stp/>
        <stp>BDP|14850940800649474609</stp>
        <tr r="L19" s="2"/>
      </tp>
      <tp t="s">
        <v>#N/A Requesting Data...3558133408</v>
        <stp/>
        <stp>BDP|12562426788824554820</stp>
        <tr r="I9" s="1"/>
        <tr r="G42" s="2"/>
      </tp>
      <tp t="s">
        <v>#N/A Requesting Data...1890308207</v>
        <stp/>
        <stp>BDP|10536550650570939215</stp>
        <tr r="I4" s="1"/>
        <tr r="G21" s="2"/>
      </tp>
      <tp t="s">
        <v>#N/A N/A</v>
        <stp/>
        <stp>BDP|14195087353230582374</stp>
        <tr r="C129" s="2"/>
      </tp>
      <tp t="s">
        <v>#N/A N/A</v>
        <stp/>
        <stp>BDP|10908669371441319264</stp>
        <tr r="H129" s="2"/>
      </tp>
      <tp t="s">
        <v>#N/A N/A</v>
        <stp/>
        <stp>BDP|10499522859055144757</stp>
        <tr r="L199" s="2"/>
      </tp>
      <tp t="s">
        <v>#N/A N/A</v>
        <stp/>
        <stp>BDP|11519146532699084884</stp>
        <tr r="M209" s="2"/>
      </tp>
      <tp t="s">
        <v>#N/A N/A</v>
        <stp/>
        <stp>BDP|14355701659220681473</stp>
        <tr r="K171" s="2"/>
      </tp>
      <tp t="s">
        <v>#N/A N/A</v>
        <stp/>
        <stp>BDP|10611885487557624541</stp>
        <tr r="G22" s="2"/>
      </tp>
      <tp t="s">
        <v>#N/A N/A</v>
        <stp/>
        <stp>BDP|15827031122111706450</stp>
        <tr r="L24" s="2"/>
      </tp>
      <tp t="s">
        <v>#N/A N/A</v>
        <stp/>
        <stp>BDP|16610951378038174217</stp>
        <tr r="F210" s="2"/>
      </tp>
      <tp t="s">
        <v>#N/A N/A</v>
        <stp/>
        <stp>BDP|14967598778834344005</stp>
        <tr r="K255" s="2"/>
      </tp>
      <tp t="s">
        <v>#N/A N/A</v>
        <stp/>
        <stp>BDP|14694542748982729566</stp>
        <tr r="H306" s="2"/>
      </tp>
      <tp t="s">
        <v>#N/A Requesting Data...942228536</v>
        <stp/>
        <stp>BDP|11380522875933659293</stp>
        <tr r="O23" s="1"/>
        <tr r="M155" s="2"/>
      </tp>
      <tp t="s">
        <v>#N/A N/A</v>
        <stp/>
        <stp>BDP|14160334081858028596</stp>
        <tr r="I254" s="2"/>
      </tp>
      <tp t="s">
        <v>#N/A N/A</v>
        <stp/>
        <stp>BDP|14180170556440818220</stp>
        <tr r="N121" s="2"/>
      </tp>
      <tp t="s">
        <v>#N/A N/A</v>
        <stp/>
        <stp>BDP|15477712746676881218</stp>
        <tr r="M213" s="2"/>
      </tp>
      <tp t="s">
        <v>#N/A N/A</v>
        <stp/>
        <stp>BDP|14372963418087459930</stp>
        <tr r="L79" s="2"/>
      </tp>
      <tp t="s">
        <v>#N/A N/A</v>
        <stp/>
        <stp>BDP|16727262238054306104</stp>
        <tr r="I107" s="2"/>
      </tp>
      <tp t="s">
        <v>#N/A N/A</v>
        <stp/>
        <stp>BDP|10637872349528434618</stp>
        <tr r="E116" s="2"/>
      </tp>
      <tp t="s">
        <v>#N/A Requesting Data...2256265715</v>
        <stp/>
        <stp>BDP|16214450382220869806</stp>
        <tr r="M13" s="1"/>
        <tr r="K86" s="2"/>
      </tp>
      <tp t="s">
        <v>#N/A N/A</v>
        <stp/>
        <stp>BDP|12602488157666169759</stp>
        <tr r="J245" s="2"/>
      </tp>
      <tp t="s">
        <v>#N/A N/A</v>
        <stp/>
        <stp>BDP|15241601148440469530</stp>
        <tr r="I145" s="2"/>
      </tp>
      <tp t="s">
        <v>#N/A N/A</v>
        <stp/>
        <stp>BDP|17253298300482648508</stp>
        <tr r="M99" s="2"/>
      </tp>
      <tp t="s">
        <v>#N/A N/A</v>
        <stp/>
        <stp>BDP|14817775974031083774</stp>
        <tr r="N62" s="2"/>
      </tp>
      <tp t="s">
        <v>#N/A N/A</v>
        <stp/>
        <stp>BDP|13440834273126038885</stp>
        <tr r="D250" s="2"/>
      </tp>
      <tp t="s">
        <v>#N/A N/A</v>
        <stp/>
        <stp>BDP|11425515940917191583</stp>
        <tr r="H89" s="2"/>
      </tp>
      <tp t="s">
        <v>#N/A N/A</v>
        <stp/>
        <stp>BDP|15746831973501318985</stp>
        <tr r="D88" s="2"/>
      </tp>
      <tp t="s">
        <v>#N/A N/A</v>
        <stp/>
        <stp>BDP|13352290624091782067</stp>
        <tr r="I262" s="2"/>
      </tp>
      <tp t="s">
        <v>#N/A N/A</v>
        <stp/>
        <stp>BDP|14858881110798841776</stp>
        <tr r="G113" s="2"/>
      </tp>
      <tp t="s">
        <v>#N/A N/A</v>
        <stp/>
        <stp>BDP|16282250855887907445</stp>
        <tr r="D210" s="2"/>
      </tp>
      <tp t="s">
        <v>#N/A N/A</v>
        <stp/>
        <stp>BDP|14842599634019284980</stp>
        <tr r="G232" s="2"/>
      </tp>
      <tp t="s">
        <v>#N/A N/A</v>
        <stp/>
        <stp>BDP|13506496113211178508</stp>
        <tr r="H298" s="2"/>
      </tp>
      <tp t="s">
        <v>#N/A N/A</v>
        <stp/>
        <stp>BDP|16660181877806470437</stp>
        <tr r="N64" s="2"/>
      </tp>
      <tp t="s">
        <v>#N/A N/A</v>
        <stp/>
        <stp>BDP|13061691775392698241</stp>
        <tr r="D257" s="2"/>
      </tp>
      <tp t="s">
        <v>#N/A N/A</v>
        <stp/>
        <stp>BDP|12507047943890526498</stp>
        <tr r="E231" s="2"/>
      </tp>
      <tp t="s">
        <v>#N/A N/A</v>
        <stp/>
        <stp>BDP|13441679203330630776</stp>
        <tr r="J127" s="2"/>
      </tp>
      <tp t="s">
        <v>#N/A Requesting Data...2358079620</v>
        <stp/>
        <stp>BDP|10440101662897556226</stp>
        <tr r="F6" s="1"/>
        <tr r="D31" s="2"/>
      </tp>
      <tp t="s">
        <v>#N/A N/A</v>
        <stp/>
        <stp>BDP|14101054270067539604</stp>
        <tr r="C92" s="2"/>
      </tp>
      <tp t="s">
        <v>#N/A N/A</v>
        <stp/>
        <stp>BDP|17617841778189806330</stp>
        <tr r="F226" s="2"/>
      </tp>
      <tp t="s">
        <v>#N/A N/A</v>
        <stp/>
        <stp>BDP|15238557172117465219</stp>
        <tr r="K246" s="2"/>
      </tp>
      <tp t="s">
        <v>#N/A N/A</v>
        <stp/>
        <stp>BDP|12961416899044283931</stp>
        <tr r="I120" s="2"/>
      </tp>
      <tp t="s">
        <v>#N/A N/A</v>
        <stp/>
        <stp>BDP|12076246021439321969</stp>
        <tr r="N267" s="2"/>
      </tp>
      <tp t="s">
        <v>#N/A N/A</v>
        <stp/>
        <stp>BDP|10012455753872178176</stp>
        <tr r="C98" s="2"/>
      </tp>
      <tp t="s">
        <v>#N/A N/A</v>
        <stp/>
        <stp>BDP|14208273767697116539</stp>
        <tr r="I258" s="2"/>
      </tp>
      <tp t="s">
        <v>#N/A N/A</v>
        <stp/>
        <stp>BDP|11277430649365194691</stp>
        <tr r="N83" s="2"/>
      </tp>
      <tp t="s">
        <v>#N/A N/A</v>
        <stp/>
        <stp>BDP|12573024036524671771</stp>
        <tr r="F167" s="2"/>
      </tp>
      <tp t="s">
        <v>#N/A N/A</v>
        <stp/>
        <stp>BDP|16545036332354039344</stp>
        <tr r="N168" s="2"/>
      </tp>
      <tp t="s">
        <v>#N/A N/A</v>
        <stp/>
        <stp>BDP|18268821866702388665</stp>
        <tr r="E30" s="2"/>
      </tp>
      <tp t="s">
        <v>#N/A N/A</v>
        <stp/>
        <stp>BDP|14819688302665052518</stp>
        <tr r="H264" s="2"/>
      </tp>
      <tp t="s">
        <v>#N/A N/A</v>
        <stp/>
        <stp>BDP|13127665923967373249</stp>
        <tr r="F206" s="2"/>
      </tp>
      <tp t="s">
        <v>#N/A N/A</v>
        <stp/>
        <stp>BDP|14578262913784719143</stp>
        <tr r="N43" s="2"/>
      </tp>
      <tp t="s">
        <v>#N/A N/A</v>
        <stp/>
        <stp>BDP|12889532059516537657</stp>
        <tr r="H147" s="2"/>
      </tp>
      <tp t="s">
        <v>#N/A N/A</v>
        <stp/>
        <stp>BDP|17589555132221273229</stp>
        <tr r="E163" s="2"/>
      </tp>
      <tp t="s">
        <v>#N/A N/A</v>
        <stp/>
        <stp>BDP|17610556891178055106</stp>
        <tr r="J119" s="2"/>
      </tp>
      <tp t="s">
        <v>#N/A N/A</v>
        <stp/>
        <stp>BDP|14089178935341425545</stp>
        <tr r="G59" s="2"/>
      </tp>
      <tp t="s">
        <v>#N/A N/A</v>
        <stp/>
        <stp>BDP|13686181674086652195</stp>
        <tr r="N127" s="2"/>
      </tp>
      <tp t="s">
        <v>#N/A N/A</v>
        <stp/>
        <stp>BDP|18425260436303656878</stp>
        <tr r="H5" s="2"/>
      </tp>
      <tp t="s">
        <v>#N/A N/A</v>
        <stp/>
        <stp>BDP|13557722951036691545</stp>
        <tr r="C309" s="2"/>
      </tp>
      <tp t="s">
        <v>#N/A N/A</v>
        <stp/>
        <stp>BDP|18350584092921543781</stp>
        <tr r="H294" s="2"/>
      </tp>
      <tp t="s">
        <v>#N/A N/A</v>
        <stp/>
        <stp>BDP|15414027927822550707</stp>
        <tr r="D215" s="2"/>
      </tp>
      <tp t="s">
        <v>#N/A N/A</v>
        <stp/>
        <stp>BDP|11955699745011284036</stp>
        <tr r="J302" s="2"/>
      </tp>
      <tp t="s">
        <v>#N/A Requesting Data...2804518190</v>
        <stp/>
        <stp>BDP|16395896592806968351</stp>
        <tr r="E10" s="1"/>
        <tr r="C74" s="2"/>
      </tp>
      <tp t="s">
        <v>#N/A N/A</v>
        <stp/>
        <stp>BDP|14152401169122429682</stp>
        <tr r="J309" s="2"/>
      </tp>
      <tp t="s">
        <v>#N/A N/A</v>
        <stp/>
        <stp>BDP|10617108827050634107</stp>
        <tr r="E92" s="2"/>
      </tp>
      <tp t="s">
        <v>#N/A N/A</v>
        <stp/>
        <stp>BDP|15863069416891835777</stp>
        <tr r="I90" s="2"/>
      </tp>
      <tp t="s">
        <v>#N/A N/A</v>
        <stp/>
        <stp>BDP|16171636025609731976</stp>
        <tr r="K125" s="2"/>
      </tp>
      <tp t="s">
        <v>#N/A N/A</v>
        <stp/>
        <stp>BDP|12118433487619076524</stp>
        <tr r="D25" s="2"/>
      </tp>
      <tp t="s">
        <v>#N/A N/A</v>
        <stp/>
        <stp>BDP|17591003119132282694</stp>
        <tr r="N241" s="2"/>
      </tp>
      <tp t="s">
        <v>#N/A N/A</v>
        <stp/>
        <stp>BDP|11382465839961389588</stp>
        <tr r="K46" s="2"/>
      </tp>
      <tp t="s">
        <v>#N/A N/A</v>
        <stp/>
        <stp>BDP|12626242039076901754</stp>
        <tr r="H140" s="2"/>
      </tp>
      <tp t="s">
        <v>#N/A N/A</v>
        <stp/>
        <stp>BDP|16655332742226294534</stp>
        <tr r="C286" s="2"/>
      </tp>
      <tp t="s">
        <v>#N/A N/A</v>
        <stp/>
        <stp>BDP|13994950384674870467</stp>
        <tr r="K107" s="2"/>
      </tp>
      <tp t="s">
        <v>#N/A N/A</v>
        <stp/>
        <stp>BDP|11556738981919692571</stp>
        <tr r="I304" s="2"/>
      </tp>
      <tp t="s">
        <v>#N/A N/A</v>
        <stp/>
        <stp>BDP|14204405607013065130</stp>
        <tr r="F97" s="2"/>
      </tp>
      <tp t="s">
        <v>#N/A N/A</v>
        <stp/>
        <stp>BDP|15461151914224273310</stp>
        <tr r="I147" s="2"/>
      </tp>
      <tp t="s">
        <v>#N/A N/A</v>
        <stp/>
        <stp>BDP|12826466407416835273</stp>
        <tr r="K3" s="2"/>
      </tp>
      <tp t="s">
        <v>#N/A N/A</v>
        <stp/>
        <stp>BDP|14610292844114873452</stp>
        <tr r="D316" s="2"/>
      </tp>
      <tp t="s">
        <v>#N/A N/A</v>
        <stp/>
        <stp>BDP|12350394427221865033</stp>
        <tr r="H58" s="2"/>
      </tp>
      <tp t="s">
        <v>#N/A N/A</v>
        <stp/>
        <stp>BDP|16484340239773799783</stp>
        <tr r="K294" s="2"/>
      </tp>
      <tp t="s">
        <v>#N/A N/A</v>
        <stp/>
        <stp>BDP|13780842211289295098</stp>
        <tr r="D247" s="2"/>
      </tp>
      <tp t="s">
        <v>#N/A N/A</v>
        <stp/>
        <stp>BDP|13016866568397294954</stp>
        <tr r="E262" s="2"/>
      </tp>
      <tp t="s">
        <v>#N/A N/A</v>
        <stp/>
        <stp>BDP|16613591592539059043</stp>
        <tr r="F255" s="2"/>
      </tp>
      <tp t="s">
        <v>#N/A N/A</v>
        <stp/>
        <stp>BDP|16486624816364183681</stp>
        <tr r="G143" s="2"/>
      </tp>
      <tp t="s">
        <v>#N/A Requesting Data...1087134738</v>
        <stp/>
        <stp>BDP|16525492616917471778</stp>
        <tr r="K20" s="1"/>
        <tr r="I146" s="2"/>
      </tp>
      <tp t="s">
        <v>#N/A N/A</v>
        <stp/>
        <stp>BDP|15718230580515504980</stp>
        <tr r="K203" s="2"/>
      </tp>
      <tp t="s">
        <v>#N/A N/A</v>
        <stp/>
        <stp>BDP|12021088611115347524</stp>
        <tr r="G215" s="2"/>
      </tp>
      <tp t="s">
        <v>#N/A N/A</v>
        <stp/>
        <stp>BDP|12979095009244520548</stp>
        <tr r="N163" s="2"/>
      </tp>
      <tp t="s">
        <v>#N/A N/A</v>
        <stp/>
        <stp>BDP|16468628165061367480</stp>
        <tr r="I295" s="2"/>
      </tp>
      <tp t="s">
        <v>#N/A Requesting Data...4178377577</v>
        <stp/>
        <stp>BDP|16667598861032158475</stp>
        <tr r="G37" s="1"/>
        <tr r="E276" s="2"/>
      </tp>
      <tp t="s">
        <v>#N/A N/A</v>
        <stp/>
        <stp>BDP|11087207409975387523</stp>
        <tr r="L100" s="2"/>
      </tp>
      <tp t="s">
        <v>#N/A N/A</v>
        <stp/>
        <stp>BDP|12637997583957764738</stp>
        <tr r="N108" s="2"/>
      </tp>
      <tp t="s">
        <v>#N/A N/A</v>
        <stp/>
        <stp>BDP|17902362603702711535</stp>
        <tr r="K250" s="2"/>
      </tp>
      <tp t="s">
        <v>#N/A N/A</v>
        <stp/>
        <stp>BDP|14738094546572938196</stp>
        <tr r="L252" s="2"/>
      </tp>
      <tp t="s">
        <v>#N/A N/A</v>
        <stp/>
        <stp>BDP|17892709560532429742</stp>
        <tr r="D219" s="2"/>
      </tp>
      <tp t="s">
        <v>#N/A N/A</v>
        <stp/>
        <stp>BDP|12992328636021419015</stp>
        <tr r="D289" s="2"/>
      </tp>
      <tp t="s">
        <v>#N/A N/A</v>
        <stp/>
        <stp>BDP|16476435845661808421</stp>
        <tr r="L317" s="2"/>
      </tp>
      <tp t="s">
        <v>#N/A N/A</v>
        <stp/>
        <stp>BDP|12497171058016959396</stp>
        <tr r="C196" s="2"/>
      </tp>
      <tp t="s">
        <v>#N/A N/A</v>
        <stp/>
        <stp>BDP|10381136041381343792</stp>
        <tr r="E270" s="2"/>
      </tp>
      <tp t="s">
        <v>#N/A Requesting Data...1108948606</v>
        <stp/>
        <stp>BDP|14564957095545755298</stp>
        <tr r="F18" s="1"/>
        <tr r="D131" s="2"/>
      </tp>
      <tp t="s">
        <v>#N/A N/A</v>
        <stp/>
        <stp>BDP|13771638259604337758</stp>
        <tr r="E35" s="2"/>
      </tp>
      <tp t="s">
        <v>#N/A Requesting Data...1853633990</v>
        <stp/>
        <stp>BDP|13894236882788664248</stp>
        <tr r="J40" s="1"/>
        <tr r="H297" s="2"/>
      </tp>
      <tp t="s">
        <v>#N/A N/A</v>
        <stp/>
        <stp>BDP|17272483003668279800</stp>
        <tr r="G117" s="2"/>
      </tp>
      <tp t="s">
        <v>#N/A Requesting Data...1071994799</v>
        <stp/>
        <stp>BDP|16545197086525668966</stp>
        <tr r="H22" s="1"/>
        <tr r="F152" s="2"/>
      </tp>
      <tp t="s">
        <v>#N/A N/A</v>
        <stp/>
        <stp>BDP|13402731679228044842</stp>
        <tr r="E252" s="2"/>
      </tp>
      <tp t="s">
        <v>#N/A N/A</v>
        <stp/>
        <stp>BDP|15434001414960440796</stp>
        <tr r="E4" s="2"/>
      </tp>
      <tp t="s">
        <v>#N/A N/A</v>
        <stp/>
        <stp>BDP|18380190713179529213</stp>
        <tr r="G33" s="2"/>
      </tp>
      <tp t="s">
        <v>#N/A N/A</v>
        <stp/>
        <stp>BDP|17274699917817729467</stp>
        <tr r="D121" s="2"/>
      </tp>
      <tp t="s">
        <v>#N/A N/A</v>
        <stp/>
        <stp>BDP|15338061663479305984</stp>
        <tr r="N268" s="2"/>
      </tp>
      <tp t="s">
        <v>#N/A N/A</v>
        <stp/>
        <stp>BDP|12640682347875120658</stp>
        <tr r="M160" s="2"/>
      </tp>
      <tp t="s">
        <v>#N/A N/A</v>
        <stp/>
        <stp>BDP|12248160309932025215</stp>
        <tr r="F264" s="2"/>
      </tp>
      <tp t="s">
        <v>#N/A N/A</v>
        <stp/>
        <stp>BDP|16980775472213033603</stp>
        <tr r="J287" s="2"/>
      </tp>
      <tp t="s">
        <v>#N/A Requesting Data...2532643994</v>
        <stp/>
        <stp>BDP|14640129516102841566</stp>
        <tr r="P9" s="1"/>
        <tr r="N42" s="2"/>
      </tp>
      <tp t="s">
        <v>#N/A N/A</v>
        <stp/>
        <stp>BDP|10418284362383727459</stp>
        <tr r="G14" s="2"/>
      </tp>
      <tp t="s">
        <v>#N/A N/A</v>
        <stp/>
        <stp>BDP|12845753990719160607</stp>
        <tr r="I201" s="2"/>
      </tp>
      <tp t="s">
        <v>#N/A N/A</v>
        <stp/>
        <stp>BDP|11263050405375617783</stp>
        <tr r="M214" s="2"/>
      </tp>
      <tp t="s">
        <v>#N/A N/A</v>
        <stp/>
        <stp>BDP|14808758910887610675</stp>
        <tr r="L232" s="2"/>
      </tp>
      <tp t="s">
        <v>#N/A N/A</v>
        <stp/>
        <stp>BDP|13237059547592741680</stp>
        <tr r="D169" s="2"/>
      </tp>
      <tp t="s">
        <v>#N/A N/A</v>
        <stp/>
        <stp>BDP|12412725928335995187</stp>
        <tr r="J286" s="2"/>
      </tp>
      <tp t="s">
        <v>#N/A N/A</v>
        <stp/>
        <stp>BDP|12513040793878561086</stp>
        <tr r="K94" s="2"/>
      </tp>
      <tp t="s">
        <v>#N/A Requesting Data...4007876697</v>
        <stp/>
        <stp>BDP|10236257721533935000</stp>
        <tr r="G13" s="1"/>
        <tr r="E86" s="2"/>
      </tp>
      <tp t="s">
        <v>#N/A N/A</v>
        <stp/>
        <stp>BDP|12260536657770841114</stp>
        <tr r="I239" s="2"/>
      </tp>
      <tp t="s">
        <v>#N/A N/A</v>
        <stp/>
        <stp>BDP|15267089016201093632</stp>
        <tr r="G294" s="2"/>
      </tp>
      <tp t="s">
        <v>#N/A N/A</v>
        <stp/>
        <stp>BDP|17519363168117257663</stp>
        <tr r="E317" s="2"/>
      </tp>
      <tp t="s">
        <v>#N/A N/A</v>
        <stp/>
        <stp>BDP|13605710363512892339</stp>
        <tr r="K103" s="2"/>
      </tp>
      <tp t="s">
        <v>#N/A Requesting Data...3292396009</v>
        <stp/>
        <stp>BDP|17544089424865161377</stp>
        <tr r="H31" s="1"/>
        <tr r="F200" s="2"/>
      </tp>
      <tp t="s">
        <v>#N/A Requesting Data...1479599180</v>
        <stp/>
        <stp>BDP|15274084968683589396</stp>
        <tr r="G16" s="1"/>
        <tr r="E95" s="2"/>
      </tp>
      <tp t="s">
        <v>#N/A N/A</v>
        <stp/>
        <stp>BDP|14613792010518483954</stp>
        <tr r="G221" s="2"/>
      </tp>
      <tp t="s">
        <v>#N/A Requesting Data...652124610</v>
        <stp/>
        <stp>BDP|14843331543920464020</stp>
        <tr r="J29" s="1"/>
        <tr r="H193" s="2"/>
      </tp>
      <tp t="s">
        <v>#N/A N/A</v>
        <stp/>
        <stp>BDP|15437648505856335688</stp>
        <tr r="H105" s="2"/>
      </tp>
      <tp t="s">
        <v>#N/A N/A</v>
        <stp/>
        <stp>BDP|11145175252184884227</stp>
        <tr r="G198" s="2"/>
      </tp>
      <tp t="s">
        <v>#N/A N/A</v>
        <stp/>
        <stp>BDP|12391384070050377566</stp>
        <tr r="F92" s="2"/>
      </tp>
      <tp t="s">
        <v>#N/A Requesting Data...3067559039</v>
        <stp/>
        <stp>BDP|17801474737337609404</stp>
        <tr r="G38" s="1"/>
        <tr r="E278" s="2"/>
      </tp>
      <tp t="s">
        <v>#N/A N/A</v>
        <stp/>
        <stp>BDP|14522952055473922827</stp>
        <tr r="H19" s="2"/>
      </tp>
      <tp t="s">
        <v>#N/A N/A</v>
        <stp/>
        <stp>BDP|12863715757026567554</stp>
        <tr r="H61" s="2"/>
      </tp>
      <tp t="s">
        <v>#N/A N/A</v>
        <stp/>
        <stp>BDP|13516237543254829231</stp>
        <tr r="H97" s="2"/>
      </tp>
      <tp t="s">
        <v>#N/A N/A</v>
        <stp/>
        <stp>BDP|10104737588354358877</stp>
        <tr r="D221" s="2"/>
      </tp>
      <tp t="s">
        <v>#N/A N/A</v>
        <stp/>
        <stp>BDP|11722682927705651307</stp>
        <tr r="L26" s="2"/>
      </tp>
      <tp t="s">
        <v>#N/A N/A</v>
        <stp/>
        <stp>BDP|16135366820836009299</stp>
        <tr r="D179" s="2"/>
      </tp>
      <tp t="s">
        <v>#N/A N/A</v>
        <stp/>
        <stp>BDP|17385059911697298247</stp>
        <tr r="E255" s="2"/>
      </tp>
      <tp t="s">
        <v>#N/A N/A</v>
        <stp/>
        <stp>BDP|10376126561823094719</stp>
        <tr r="H66" s="2"/>
      </tp>
      <tp t="s">
        <v>#N/A N/A</v>
        <stp/>
        <stp>BDP|18392887323465015492</stp>
        <tr r="K174" s="2"/>
      </tp>
      <tp t="s">
        <v>#N/A N/A</v>
        <stp/>
        <stp>BDP|17976649901733880159</stp>
        <tr r="C238" s="2"/>
      </tp>
      <tp t="s">
        <v>#N/A N/A</v>
        <stp/>
        <stp>BDP|17523455104458796822</stp>
        <tr r="C16" s="2"/>
      </tp>
      <tp t="s">
        <v>#N/A N/A</v>
        <stp/>
        <stp>BDP|15342420347235289351</stp>
        <tr r="K296" s="2"/>
      </tp>
      <tp t="s">
        <v>#N/A N/A</v>
        <stp/>
        <stp>BDP|11673492829492453638</stp>
        <tr r="I130" s="2"/>
      </tp>
      <tp t="s">
        <v>#N/A N/A</v>
        <stp/>
        <stp>BDP|14986653111217448796</stp>
        <tr r="C77" s="2"/>
      </tp>
      <tp t="s">
        <v>#N/A N/A</v>
        <stp/>
        <stp>BDP|13821886144849647522</stp>
        <tr r="J187" s="2"/>
      </tp>
      <tp t="s">
        <v>#N/A N/A</v>
        <stp/>
        <stp>BDP|14599160263737215726</stp>
        <tr r="K205" s="2"/>
      </tp>
      <tp t="s">
        <v>#N/A Requesting Data...1599882911</v>
        <stp/>
        <stp>BDP|13419197459600609428</stp>
        <tr r="I32" s="1"/>
        <tr r="G204" s="2"/>
      </tp>
      <tp t="s">
        <v>#N/A N/A</v>
        <stp/>
        <stp>BDP|15543621136990068312</stp>
        <tr r="C103" s="2"/>
      </tp>
      <tp t="s">
        <v>#N/A Requesting Data...2153939478</v>
        <stp/>
        <stp>BDP|17386956897680031414</stp>
        <tr r="F35" s="1"/>
        <tr r="D243" s="2"/>
      </tp>
      <tp t="s">
        <v>#N/A N/A</v>
        <stp/>
        <stp>BDP|10759570622117445363</stp>
        <tr r="J234" s="2"/>
      </tp>
      <tp t="s">
        <v>#N/A N/A</v>
        <stp/>
        <stp>BDP|16576088929827796038</stp>
        <tr r="L151" s="2"/>
      </tp>
      <tp t="s">
        <v>#N/A N/A</v>
        <stp/>
        <stp>BDP|12480172283530291820</stp>
        <tr r="K16" s="2"/>
      </tp>
      <tp t="s">
        <v>#N/A Requesting Data...1299811765</v>
        <stp/>
        <stp>BDP|15315936254018511213</stp>
        <tr r="L7" s="1"/>
        <tr r="J36" s="2"/>
      </tp>
      <tp t="s">
        <v>#N/A N/A</v>
        <stp/>
        <stp>BDP|14614223087985212821</stp>
        <tr r="N114" s="2"/>
      </tp>
      <tp t="s">
        <v>#N/A Requesting Data...1582897846</v>
        <stp/>
        <stp>BDP|10207046173733729719</stp>
        <tr r="G8" s="1"/>
        <tr r="E38" s="2"/>
      </tp>
      <tp t="s">
        <v>#N/A N/A</v>
        <stp/>
        <stp>BDP|16715603101064285770</stp>
        <tr r="J123" s="2"/>
      </tp>
      <tp t="s">
        <v>#N/A Requesting Data...3978105091</v>
        <stp/>
        <stp>BDP|10213644355949655963</stp>
        <tr r="K23" s="1"/>
        <tr r="I155" s="2"/>
      </tp>
      <tp t="s">
        <v>#N/A N/A</v>
        <stp/>
        <stp>BDP|15707982832478797491</stp>
        <tr r="K77" s="2"/>
      </tp>
      <tp t="s">
        <v>#N/A N/A</v>
        <stp/>
        <stp>BDP|10102251125210532372</stp>
        <tr r="E56" s="2"/>
      </tp>
      <tp t="s">
        <v>#N/A N/A</v>
        <stp/>
        <stp>BDP|16658893582932861769</stp>
        <tr r="I195" s="2"/>
      </tp>
      <tp t="s">
        <v>#N/A N/A</v>
        <stp/>
        <stp>BDP|16543678472805683159</stp>
        <tr r="N249" s="2"/>
      </tp>
      <tp t="s">
        <v>#N/A N/A</v>
        <stp/>
        <stp>BDP|16424210763630699123</stp>
        <tr r="M92" s="2"/>
      </tp>
      <tp t="s">
        <v>#N/A N/A</v>
        <stp/>
        <stp>BDP|16227649846366656140</stp>
        <tr r="K48" s="2"/>
      </tp>
      <tp t="s">
        <v>#N/A Requesting Data...2188256477</v>
        <stp/>
        <stp>BDP|17577244354132539122</stp>
        <tr r="J28" s="1"/>
        <tr r="H192" s="2"/>
      </tp>
      <tp t="s">
        <v>#N/A Requesting Data...1621050261</v>
        <stp/>
        <stp>BDP|10097526865969200977</stp>
        <tr r="N35" s="1"/>
        <tr r="L243" s="2"/>
      </tp>
      <tp t="s">
        <v>#N/A N/A</v>
        <stp/>
        <stp>BDP|14371516707820201259</stp>
        <tr r="N136" s="2"/>
      </tp>
      <tp t="s">
        <v>#N/A N/A</v>
        <stp/>
        <stp>BDP|11124590460507340695</stp>
        <tr r="E259" s="2"/>
      </tp>
      <tp t="s">
        <v>#N/A N/A</v>
        <stp/>
        <stp>BDP|17209192726564844303</stp>
        <tr r="K313" s="2"/>
      </tp>
      <tp t="s">
        <v>#N/A N/A</v>
        <stp/>
        <stp>BDP|13672793255412629094</stp>
        <tr r="G105" s="2"/>
      </tp>
      <tp t="s">
        <v>#N/A Requesting Data...2736632450</v>
        <stp/>
        <stp>BDP|15448763308435921465</stp>
        <tr r="H26" s="1"/>
        <tr r="F180" s="2"/>
      </tp>
      <tp t="s">
        <v>#N/A N/A</v>
        <stp/>
        <stp>BDP|17001169309366998328</stp>
        <tr r="K273" s="2"/>
      </tp>
      <tp t="s">
        <v>#N/A N/A</v>
        <stp/>
        <stp>BDP|15653554040200101769</stp>
        <tr r="H296" s="2"/>
      </tp>
      <tp t="s">
        <v>#N/A N/A</v>
        <stp/>
        <stp>BDP|17278614717661193215</stp>
        <tr r="K264" s="2"/>
      </tp>
      <tp t="s">
        <v>#N/A N/A</v>
        <stp/>
        <stp>BDP|13363582020080682794</stp>
        <tr r="N156" s="2"/>
      </tp>
      <tp t="s">
        <v>#N/A N/A</v>
        <stp/>
        <stp>BDP|14386071523433567664</stp>
        <tr r="J203" s="2"/>
      </tp>
      <tp t="s">
        <v>#N/A N/A</v>
        <stp/>
        <stp>BDP|18016833913351434307</stp>
        <tr r="E315" s="2"/>
      </tp>
      <tp t="s">
        <v>#N/A N/A</v>
        <stp/>
        <stp>BDP|17441543455000765465</stp>
        <tr r="L169" s="2"/>
      </tp>
      <tp t="s">
        <v>#N/A N/A</v>
        <stp/>
        <stp>BDP|10819098486933732879</stp>
        <tr r="D82" s="2"/>
      </tp>
      <tp t="s">
        <v>#N/A N/A</v>
        <stp/>
        <stp>BDP|15742542015721164308</stp>
        <tr r="J271" s="2"/>
      </tp>
      <tp t="s">
        <v>#N/A N/A</v>
        <stp/>
        <stp>BDP|11612498701423080598</stp>
        <tr r="C26" s="2"/>
      </tp>
      <tp t="s">
        <v>#N/A N/A</v>
        <stp/>
        <stp>BDP|13509833064916341862</stp>
        <tr r="N202" s="2"/>
      </tp>
      <tp t="s">
        <v>#N/A N/A</v>
        <stp/>
        <stp>BDP|16713810030937561942</stp>
        <tr r="F133" s="2"/>
      </tp>
      <tp t="s">
        <v>#N/A N/A</v>
        <stp/>
        <stp>BDP|16760014270920585241</stp>
        <tr r="L220" s="2"/>
      </tp>
      <tp t="s">
        <v>#N/A N/A</v>
        <stp/>
        <stp>BDP|11287501445727897485</stp>
        <tr r="C75" s="2"/>
      </tp>
      <tp t="s">
        <v>#N/A N/A</v>
        <stp/>
        <stp>BDP|12156218206861623275</stp>
        <tr r="G250" s="2"/>
      </tp>
      <tp t="s">
        <v>#N/A N/A</v>
        <stp/>
        <stp>BDP|16414745672506586308</stp>
        <tr r="L237" s="2"/>
      </tp>
      <tp t="s">
        <v>#N/A N/A</v>
        <stp/>
        <stp>BDP|12858285353714501217</stp>
        <tr r="N97" s="2"/>
      </tp>
      <tp t="s">
        <v>#N/A N/A</v>
        <stp/>
        <stp>BDP|11068573626944034169</stp>
        <tr r="M12" s="2"/>
      </tp>
      <tp t="s">
        <v>#N/A N/A</v>
        <stp/>
        <stp>BDP|16912876292213230790</stp>
        <tr r="C163" s="2"/>
      </tp>
      <tp t="s">
        <v>#N/A N/A</v>
        <stp/>
        <stp>BDP|17949786981498602312</stp>
        <tr r="D112" s="2"/>
      </tp>
      <tp t="s">
        <v>#N/A N/A</v>
        <stp/>
        <stp>BDP|10321444871156659676</stp>
        <tr r="E39" s="2"/>
      </tp>
      <tp t="s">
        <v>#N/A N/A</v>
        <stp/>
        <stp>BDP|17786835867903184946</stp>
        <tr r="K248" s="2"/>
      </tp>
      <tp t="s">
        <v>#N/A N/A</v>
        <stp/>
        <stp>BDP|16593143938096966164</stp>
        <tr r="H208" s="2"/>
      </tp>
      <tp t="s">
        <v>#N/A Requesting Data...1174119090</v>
        <stp/>
        <stp>BDP|10331747136076604115</stp>
        <tr r="P6" s="1"/>
        <tr r="N31" s="2"/>
      </tp>
      <tp t="s">
        <v>#N/A N/A</v>
        <stp/>
        <stp>BDP|12080705636340681560</stp>
        <tr r="F295" s="2"/>
      </tp>
      <tp t="s">
        <v>#N/A N/A</v>
        <stp/>
        <stp>BDP|11009113240506150166</stp>
        <tr r="F83" s="2"/>
      </tp>
      <tp t="s">
        <v>#N/A N/A</v>
        <stp/>
        <stp>BDP|17835150170898710933</stp>
        <tr r="H262" s="2"/>
      </tp>
      <tp t="s">
        <v>#N/A N/A</v>
        <stp/>
        <stp>BDP|12403634943802813259</stp>
        <tr r="K45" s="2"/>
      </tp>
      <tp t="s">
        <v>#N/A N/A</v>
        <stp/>
        <stp>BDP|17997474938887882766</stp>
        <tr r="H34" s="2"/>
      </tp>
      <tp t="s">
        <v>#N/A N/A</v>
        <stp/>
        <stp>BDP|13738894755449425779</stp>
        <tr r="C216" s="2"/>
      </tp>
      <tp t="s">
        <v>#N/A N/A</v>
        <stp/>
        <stp>BDP|13388591367055535507</stp>
        <tr r="I253" s="2"/>
      </tp>
      <tp t="s">
        <v>#N/A N/A</v>
        <stp/>
        <stp>BDP|15999652542151546632</stp>
        <tr r="J106" s="2"/>
      </tp>
      <tp t="s">
        <v>#N/A N/A</v>
        <stp/>
        <stp>BDP|18052957661895848242</stp>
        <tr r="L298" s="2"/>
      </tp>
      <tp t="s">
        <v>#N/A N/A</v>
        <stp/>
        <stp>BDP|11800270624801192023</stp>
        <tr r="D50" s="2"/>
      </tp>
      <tp t="s">
        <v>#N/A N/A</v>
        <stp/>
        <stp>BDP|10312160147082209783</stp>
        <tr r="N229" s="2"/>
      </tp>
      <tp t="s">
        <v>#N/A N/A</v>
        <stp/>
        <stp>BDP|12782407927974955012</stp>
        <tr r="L160" s="2"/>
      </tp>
      <tp t="s">
        <v>#N/A N/A</v>
        <stp/>
        <stp>BDP|11863341017105337604</stp>
        <tr r="D163" s="2"/>
      </tp>
      <tp t="s">
        <v>#N/A N/A</v>
        <stp/>
        <stp>BDP|11719293270617052367</stp>
        <tr r="C314" s="2"/>
      </tp>
      <tp t="s">
        <v>#N/A N/A</v>
        <stp/>
        <stp>BDP|15570298166895444458</stp>
        <tr r="C185" s="2"/>
      </tp>
      <tp t="s">
        <v>#N/A N/A</v>
        <stp/>
        <stp>BDP|13981772072440011371</stp>
        <tr r="E15" s="2"/>
      </tp>
      <tp t="s">
        <v>#N/A N/A</v>
        <stp/>
        <stp>BDP|11604225168754417136</stp>
        <tr r="M126" s="2"/>
      </tp>
      <tp t="s">
        <v>#N/A N/A</v>
        <stp/>
        <stp>BDP|17463265021447949008</stp>
        <tr r="M172" s="2"/>
      </tp>
      <tp t="s">
        <v>#N/A N/A</v>
        <stp/>
        <stp>BDP|13918711348000981033</stp>
        <tr r="F240" s="2"/>
      </tp>
      <tp t="s">
        <v>#N/A N/A</v>
        <stp/>
        <stp>BDP|16576690957903726665</stp>
        <tr r="E121" s="2"/>
      </tp>
      <tp t="s">
        <v>#N/A N/A</v>
        <stp/>
        <stp>BDP|17086771125440854200</stp>
        <tr r="C289" s="2"/>
      </tp>
      <tp t="s">
        <v>#N/A N/A</v>
        <stp/>
        <stp>BDP|16791760256375409196</stp>
        <tr r="I208" s="2"/>
      </tp>
      <tp t="s">
        <v>#N/A N/A</v>
        <stp/>
        <stp>BDP|11126843537928928216</stp>
        <tr r="K298" s="2"/>
      </tp>
      <tp t="s">
        <v>#N/A Requesting Data...1242858078</v>
        <stp/>
        <stp>BDP|11758704752216616590</stp>
        <tr r="G35" s="1"/>
        <tr r="E243" s="2"/>
      </tp>
      <tp t="s">
        <v>#N/A N/A</v>
        <stp/>
        <stp>BDP|14298059778842215107</stp>
        <tr r="M16" s="2"/>
      </tp>
      <tp t="s">
        <v>#N/A N/A</v>
        <stp/>
        <stp>BDP|17407817168759687066</stp>
        <tr r="N251" s="2"/>
      </tp>
      <tp t="s">
        <v>#N/A Requesting Data...3287848734</v>
        <stp/>
        <stp>BDP|16150222366496186496</stp>
        <tr r="E3" s="1"/>
        <tr r="C20" s="2"/>
      </tp>
      <tp t="s">
        <v>#N/A N/A</v>
        <stp/>
        <stp>BDP|17644030649715797668</stp>
        <tr r="C143" s="2"/>
      </tp>
      <tp t="s">
        <v>#N/A N/A</v>
        <stp/>
        <stp>BDP|10608395904332449123</stp>
        <tr r="G224" s="2"/>
      </tp>
      <tp t="s">
        <v>#N/A N/A</v>
        <stp/>
        <stp>BDP|11291986334842452973</stp>
        <tr r="G306" s="2"/>
      </tp>
      <tp t="s">
        <v>#N/A Requesting Data...2051026249</v>
        <stp/>
        <stp>BDP|17494774119958349940</stp>
        <tr r="K8" s="1"/>
        <tr r="I38" s="2"/>
      </tp>
      <tp t="s">
        <v>#N/A N/A</v>
        <stp/>
        <stp>BDP|14940410261611627720</stp>
        <tr r="F207" s="2"/>
      </tp>
      <tp t="s">
        <v>#N/A N/A</v>
        <stp/>
        <stp>BDP|12240458605856676094</stp>
        <tr r="F116" s="2"/>
      </tp>
      <tp t="s">
        <v>#N/A N/A</v>
        <stp/>
        <stp>BDP|12836342441260469540</stp>
        <tr r="G56" s="2"/>
      </tp>
      <tp t="s">
        <v>#N/A N/A</v>
        <stp/>
        <stp>BDP|13341479985977865853</stp>
        <tr r="M130" s="2"/>
      </tp>
      <tp t="s">
        <v>#N/A N/A</v>
        <stp/>
        <stp>BDP|10826248346592281447</stp>
        <tr r="D173" s="2"/>
      </tp>
      <tp t="e">
        <v>#N/A</v>
        <stp/>
        <stp>BDS|10676995036583590939</stp>
        <tr r="A3" s="1"/>
      </tp>
      <tp t="s">
        <v>#N/A N/A</v>
        <stp/>
        <stp>BDP|13671120459307591048</stp>
        <tr r="L277" s="2"/>
      </tp>
      <tp t="s">
        <v>#N/A N/A</v>
        <stp/>
        <stp>BDP|13680495677694167459</stp>
        <tr r="L245" s="2"/>
      </tp>
      <tp t="s">
        <v>#N/A N/A</v>
        <stp/>
        <stp>BDP|11992170851446122315</stp>
        <tr r="N164" s="2"/>
      </tp>
      <tp t="s">
        <v>#N/A N/A</v>
        <stp/>
        <stp>BDP|15975750142236498055</stp>
        <tr r="F50" s="2"/>
      </tp>
      <tp t="s">
        <v>#N/A N/A</v>
        <stp/>
        <stp>BDP|17999797778680256755</stp>
        <tr r="E215" s="2"/>
      </tp>
      <tp t="s">
        <v>#N/A N/A</v>
        <stp/>
        <stp>BDP|10205781831577219364</stp>
        <tr r="H44" s="2"/>
      </tp>
      <tp t="s">
        <v>#N/A N/A</v>
        <stp/>
        <stp>BDP|17713973109796308855</stp>
        <tr r="F165" s="2"/>
      </tp>
      <tp t="s">
        <v>#N/A N/A</v>
        <stp/>
        <stp>BDP|10426396022250866187</stp>
        <tr r="M25" s="2"/>
      </tp>
      <tp t="s">
        <v>#N/A N/A</v>
        <stp/>
        <stp>BDP|12234526312763530586</stp>
        <tr r="H128" s="2"/>
      </tp>
      <tp t="s">
        <v>#N/A Requesting Data...2253342925</v>
        <stp/>
        <stp>BDP|14848877199942092796</stp>
        <tr r="I31" s="1"/>
        <tr r="G200" s="2"/>
      </tp>
      <tp t="s">
        <v>#N/A N/A</v>
        <stp/>
        <stp>BDP|16230011469572661229</stp>
        <tr r="L216" s="2"/>
      </tp>
      <tp t="s">
        <v>#N/A Requesting Data...4076847903</v>
        <stp/>
        <stp>BDP|13425702819076461379</stp>
        <tr r="H40" s="1"/>
        <tr r="F297" s="2"/>
      </tp>
      <tp t="s">
        <v>#N/A N/A</v>
        <stp/>
        <stp>BDP|17559652717741962107</stp>
        <tr r="H71" s="2"/>
      </tp>
      <tp t="s">
        <v>#N/A Requesting Data...4120107535</v>
        <stp/>
        <stp>BDP|16305490204400429246</stp>
        <tr r="O8" s="1"/>
        <tr r="M38" s="2"/>
      </tp>
      <tp t="s">
        <v>#N/A Requesting Data...2302617494</v>
        <stp/>
        <stp>BDP|18207655164249540185</stp>
        <tr r="O21" s="1"/>
        <tr r="M148" s="2"/>
      </tp>
      <tp t="s">
        <v>#N/A N/A</v>
        <stp/>
        <stp>BDP|11867611679929502940</stp>
        <tr r="C172" s="2"/>
      </tp>
      <tp t="s">
        <v>#N/A N/A</v>
        <stp/>
        <stp>BDP|12860550709023720428</stp>
        <tr r="I283" s="2"/>
      </tp>
      <tp t="s">
        <v>#N/A N/A</v>
        <stp/>
        <stp>BDP|10410709768001413095</stp>
        <tr r="D90" s="2"/>
      </tp>
      <tp t="s">
        <v>#N/A Requesting Data...1624657678</v>
        <stp/>
        <stp>BDP|10052190321640036392</stp>
        <tr r="M22" s="1"/>
        <tr r="K152" s="2"/>
      </tp>
      <tp t="s">
        <v>#N/A N/A</v>
        <stp/>
        <stp>BDP|17707286263700562387</stp>
        <tr r="E113" s="2"/>
      </tp>
      <tp t="s">
        <v>#N/A Requesting Data...2733340338</v>
        <stp/>
        <stp>BDP|12704344196909387175</stp>
        <tr r="I27" s="1"/>
        <tr r="G181" s="2"/>
      </tp>
      <tp t="s">
        <v>#N/A N/A</v>
        <stp/>
        <stp>BDP|18340117695698211842</stp>
        <tr r="I139" s="2"/>
      </tp>
      <tp t="s">
        <v>#N/A N/A</v>
        <stp/>
        <stp>BDP|13156927220721334913</stp>
        <tr r="I259" s="2"/>
      </tp>
      <tp t="s">
        <v>#N/A N/A</v>
        <stp/>
        <stp>BDP|16345168037495683154</stp>
        <tr r="F10" s="2"/>
      </tp>
      <tp t="s">
        <v>#N/A N/A</v>
        <stp/>
        <stp>BDP|12974754229673162448</stp>
        <tr r="K100" s="2"/>
      </tp>
      <tp t="s">
        <v>#N/A N/A</v>
        <stp/>
        <stp>BDP|13615428484136415944</stp>
        <tr r="D308" s="2"/>
      </tp>
      <tp t="s">
        <v>#N/A Requesting Data...1456883315</v>
        <stp/>
        <stp>BDP|17635123755417335424</stp>
        <tr r="E23" s="1"/>
        <tr r="C155" s="2"/>
      </tp>
      <tp t="s">
        <v>#N/A N/A</v>
        <stp/>
        <stp>BDP|15528258746977413423</stp>
        <tr r="D186" s="2"/>
      </tp>
      <tp t="s">
        <v>#N/A N/A</v>
        <stp/>
        <stp>BDP|13254377967585678345</stp>
        <tr r="D33" s="2"/>
      </tp>
      <tp t="s">
        <v>#N/A N/A</v>
        <stp/>
        <stp>BDP|18263604745849395346</stp>
        <tr r="L25" s="2"/>
      </tp>
      <tp t="s">
        <v>#N/A N/A</v>
        <stp/>
        <stp>BDP|16021240524545250326</stp>
        <tr r="J94" s="2"/>
      </tp>
      <tp t="s">
        <v>#N/A N/A</v>
        <stp/>
        <stp>BDP|14226985283172253788</stp>
        <tr r="C4" s="2"/>
      </tp>
      <tp t="s">
        <v>#N/A N/A</v>
        <stp/>
        <stp>BDP|17857313745121681194</stp>
        <tr r="N33" s="2"/>
      </tp>
      <tp t="s">
        <v>#N/A N/A</v>
        <stp/>
        <stp>BDP|16001909676418273074</stp>
        <tr r="M72" s="2"/>
      </tp>
      <tp t="s">
        <v>#N/A N/A</v>
        <stp/>
        <stp>BDP|12373116894769728328</stp>
        <tr r="L310" s="2"/>
      </tp>
      <tp t="s">
        <v>#N/A N/A</v>
        <stp/>
        <stp>BDP|13115313446125137141</stp>
        <tr r="K12" s="2"/>
      </tp>
      <tp t="s">
        <v>#N/A N/A</v>
        <stp/>
        <stp>BDP|16072101792049430752</stp>
        <tr r="I300" s="2"/>
      </tp>
      <tp t="s">
        <v>#N/A N/A</v>
        <stp/>
        <stp>BDP|10920693783329529756</stp>
        <tr r="G26" s="2"/>
      </tp>
      <tp t="s">
        <v>#N/A N/A</v>
        <stp/>
        <stp>BDP|10125524441518558940</stp>
        <tr r="L3" s="2"/>
      </tp>
      <tp t="s">
        <v>#N/A N/A</v>
        <stp/>
        <stp>BDP|12956182197128439211</stp>
        <tr r="K136" s="2"/>
      </tp>
      <tp t="s">
        <v>#N/A N/A</v>
        <stp/>
        <stp>BDP|16638901280900184747</stp>
        <tr r="M183" s="2"/>
      </tp>
      <tp t="s">
        <v>#N/A N/A</v>
        <stp/>
        <stp>BDP|15067615801165086621</stp>
        <tr r="G308" s="2"/>
      </tp>
      <tp t="s">
        <v>#N/A N/A</v>
        <stp/>
        <stp>BDP|17563511354705084223</stp>
        <tr r="J298" s="2"/>
      </tp>
      <tp t="s">
        <v>#N/A N/A</v>
        <stp/>
        <stp>BDP|13370004895918720232</stp>
        <tr r="C244" s="2"/>
      </tp>
      <tp t="s">
        <v>#N/A N/A</v>
        <stp/>
        <stp>BDP|14498961097765021174</stp>
        <tr r="M177" s="2"/>
      </tp>
      <tp t="s">
        <v>#N/A N/A</v>
        <stp/>
        <stp>BDP|15725517700905171554</stp>
        <tr r="C273" s="2"/>
      </tp>
      <tp t="s">
        <v>#N/A N/A</v>
        <stp/>
        <stp>BDP|16920478386512945835</stp>
        <tr r="E249" s="2"/>
      </tp>
      <tp t="s">
        <v>#N/A N/A</v>
        <stp/>
        <stp>BDP|17424321277831632256</stp>
        <tr r="J112" s="2"/>
      </tp>
      <tp t="s">
        <v>#N/A N/A</v>
        <stp/>
        <stp>BDP|15565465708969105888</stp>
        <tr r="J136" s="2"/>
      </tp>
      <tp t="s">
        <v>#N/A N/A</v>
        <stp/>
        <stp>BDP|13996068767236221383</stp>
        <tr r="G69" s="2"/>
      </tp>
      <tp t="s">
        <v>#N/A N/A</v>
        <stp/>
        <stp>BDP|14110096148166761651</stp>
        <tr r="F283" s="2"/>
      </tp>
      <tp t="s">
        <v>#N/A N/A</v>
        <stp/>
        <stp>BDP|10271135720997194422</stp>
        <tr r="G315" s="2"/>
      </tp>
      <tp t="s">
        <v>#N/A N/A</v>
        <stp/>
        <stp>BDP|16906533459420039613</stp>
        <tr r="G290" s="2"/>
      </tp>
      <tp t="s">
        <v>#N/A N/A</v>
        <stp/>
        <stp>BDP|16533794355327934321</stp>
        <tr r="J32" s="2"/>
      </tp>
      <tp t="s">
        <v>#N/A N/A</v>
        <stp/>
        <stp>BDP|10811082396718313170</stp>
        <tr r="J41" s="2"/>
      </tp>
      <tp t="s">
        <v>#N/A N/A</v>
        <stp/>
        <stp>BDP|14253152581195793840</stp>
        <tr r="K201" s="2"/>
      </tp>
      <tp t="s">
        <v>#N/A N/A</v>
        <stp/>
        <stp>BDP|15322300586309932793</stp>
        <tr r="H165" s="2"/>
      </tp>
      <tp t="s">
        <v>#N/A N/A</v>
        <stp/>
        <stp>BDP|13570405063089723840</stp>
        <tr r="N103" s="2"/>
      </tp>
      <tp t="s">
        <v>#N/A N/A</v>
        <stp/>
        <stp>BDP|16364342643252158304</stp>
        <tr r="K253" s="2"/>
      </tp>
      <tp t="s">
        <v>#N/A N/A</v>
        <stp/>
        <stp>BDP|15245558173721258639</stp>
        <tr r="M248" s="2"/>
      </tp>
      <tp t="s">
        <v>#N/A N/A</v>
        <stp/>
        <stp>BDP|14258068520213198519</stp>
        <tr r="J295" s="2"/>
      </tp>
      <tp t="s">
        <v>#N/A N/A</v>
        <stp/>
        <stp>BDP|12386311238675815761</stp>
        <tr r="N50" s="2"/>
      </tp>
      <tp t="s">
        <v>#N/A N/A</v>
        <stp/>
        <stp>BDP|11045306687972163823</stp>
        <tr r="K18" s="2"/>
      </tp>
      <tp t="s">
        <v>#N/A N/A</v>
        <stp/>
        <stp>BDP|14662441209243835378</stp>
        <tr r="K185" s="2"/>
      </tp>
      <tp t="s">
        <v>#N/A N/A</v>
        <stp/>
        <stp>BDP|15933505779887118053</stp>
        <tr r="K5" s="2"/>
      </tp>
      <tp t="s">
        <v>#N/A N/A</v>
        <stp/>
        <stp>BDP|15995685033122466229</stp>
        <tr r="C184" s="2"/>
      </tp>
      <tp t="s">
        <v>#N/A N/A</v>
        <stp/>
        <stp>BDP|16681962290877042146</stp>
        <tr r="F198" s="2"/>
      </tp>
      <tp t="s">
        <v>#N/A N/A</v>
        <stp/>
        <stp>BDP|16262731634727473553</stp>
        <tr r="J17" s="2"/>
      </tp>
      <tp t="s">
        <v>#N/A N/A</v>
        <stp/>
        <stp>BDP|15918373919853163428</stp>
        <tr r="L57" s="2"/>
      </tp>
      <tp t="s">
        <v>#N/A N/A</v>
        <stp/>
        <stp>BDP|17188152216895007258</stp>
        <tr r="N309" s="2"/>
      </tp>
      <tp t="s">
        <v>#N/A N/A</v>
        <stp/>
        <stp>BDP|17897798560860463621</stp>
        <tr r="I128" s="2"/>
      </tp>
      <tp t="s">
        <v>#N/A N/A</v>
        <stp/>
        <stp>BDP|10862712658017387550</stp>
        <tr r="C188" s="2"/>
      </tp>
      <tp t="s">
        <v>#N/A Requesting Data...1623064981</v>
        <stp/>
        <stp>BDP|17105062276627403726</stp>
        <tr r="K15" s="1"/>
        <tr r="I93" s="2"/>
      </tp>
      <tp t="s">
        <v>#N/A N/A</v>
        <stp/>
        <stp>BDP|15799100526382204448</stp>
        <tr r="G100" s="2"/>
      </tp>
      <tp t="s">
        <v>#N/A N/A</v>
        <stp/>
        <stp>BDP|15727190325570513696</stp>
        <tr r="M188" s="2"/>
      </tp>
      <tp t="s">
        <v>#N/A N/A</v>
        <stp/>
        <stp>BDP|13117232663473743415</stp>
        <tr r="L201" s="2"/>
      </tp>
      <tp t="s">
        <v>#N/A N/A</v>
        <stp/>
        <stp>BDP|11357025020736282549</stp>
        <tr r="I156" s="2"/>
      </tp>
      <tp t="s">
        <v>#N/A N/A</v>
        <stp/>
        <stp>BDP|17732537590039068237</stp>
        <tr r="H52" s="2"/>
      </tp>
      <tp t="s">
        <v>#N/A Requesting Data...3472454847</v>
        <stp/>
        <stp>BDP|14749192736426600096</stp>
        <tr r="M36" s="1"/>
        <tr r="K260" s="2"/>
      </tp>
      <tp t="s">
        <v>#N/A N/A</v>
        <stp/>
        <stp>BDP|16536525556067483132</stp>
        <tr r="I59" s="2"/>
      </tp>
      <tp t="s">
        <v>#N/A N/A</v>
        <stp/>
        <stp>BDP|10562311992052164812</stp>
        <tr r="G207" s="2"/>
      </tp>
      <tp t="s">
        <v>#N/A N/A</v>
        <stp/>
        <stp>BDP|10719633694398560735</stp>
        <tr r="H305" s="2"/>
      </tp>
      <tp t="s">
        <v>#N/A N/A</v>
        <stp/>
        <stp>BDP|14397297959976667536</stp>
        <tr r="E174" s="2"/>
      </tp>
      <tp t="s">
        <v>#N/A N/A</v>
        <stp/>
        <stp>BDP|18133683788133203554</stp>
        <tr r="N55" s="2"/>
      </tp>
      <tp t="s">
        <v>#N/A N/A</v>
        <stp/>
        <stp>BDP|16831385268916917481</stp>
        <tr r="N294" s="2"/>
      </tp>
      <tp t="s">
        <v>#N/A Requesting Data...3618133357</v>
        <stp/>
        <stp>BDP|15618326323473759695</stp>
        <tr r="H25" s="1"/>
        <tr r="F176" s="2"/>
      </tp>
      <tp t="s">
        <v>#N/A Requesting Data...1835141222</v>
        <stp/>
        <stp>BDP|13831616517155266055</stp>
        <tr r="F37" s="1"/>
        <tr r="D276" s="2"/>
      </tp>
      <tp t="s">
        <v>#N/A N/A</v>
        <stp/>
        <stp>BDP|15501361469090343100</stp>
        <tr r="C159" s="2"/>
      </tp>
      <tp t="s">
        <v>#N/A N/A</v>
        <stp/>
        <stp>BDP|13967225972833810491</stp>
        <tr r="L159" s="2"/>
      </tp>
      <tp t="s">
        <v>#N/A N/A</v>
        <stp/>
        <stp>BDP|17449945091950017690</stp>
        <tr r="D61" s="2"/>
      </tp>
      <tp t="s">
        <v>#N/A N/A</v>
        <stp/>
        <stp>BDP|10974377730206294745</stp>
        <tr r="C257" s="2"/>
      </tp>
      <tp t="s">
        <v>#N/A Requesting Data...3188358421</v>
        <stp/>
        <stp>BDP|14976062707467993295</stp>
        <tr r="I29" s="1"/>
        <tr r="G193" s="2"/>
      </tp>
      <tp t="s">
        <v>#N/A N/A</v>
        <stp/>
        <stp>BDP|14768734789078579208</stp>
        <tr r="D9" s="2"/>
      </tp>
      <tp t="s">
        <v>#N/A N/A</v>
        <stp/>
        <stp>BDP|14632026129165702224</stp>
        <tr r="I43" s="2"/>
      </tp>
      <tp t="s">
        <v>#N/A N/A</v>
        <stp/>
        <stp>BDP|15131222764077833776</stp>
        <tr r="F189" s="2"/>
      </tp>
      <tp t="s">
        <v>#N/A N/A</v>
        <stp/>
        <stp>BDP|13895377357094217015</stp>
        <tr r="E128" s="2"/>
      </tp>
      <tp t="s">
        <v>#N/A N/A</v>
        <stp/>
        <stp>BDP|12376669938906668009</stp>
        <tr r="F129" s="2"/>
      </tp>
      <tp t="s">
        <v>#N/A N/A</v>
        <stp/>
        <stp>BDP|16043114278295798454</stp>
        <tr r="H162" s="2"/>
      </tp>
      <tp t="s">
        <v>#N/A N/A</v>
        <stp/>
        <stp>BDP|15864001503665780177</stp>
        <tr r="J291" s="2"/>
      </tp>
      <tp t="s">
        <v>#N/A N/A</v>
        <stp/>
        <stp>BDP|17464225049591604125</stp>
        <tr r="D77" s="2"/>
      </tp>
      <tp t="s">
        <v>#N/A N/A</v>
        <stp/>
        <stp>BDP|11872022547434130070</stp>
        <tr r="N272" s="2"/>
      </tp>
      <tp t="s">
        <v>#N/A N/A</v>
        <stp/>
        <stp>BDP|13312002821476948603</stp>
        <tr r="G160" s="2"/>
      </tp>
      <tp t="s">
        <v>#N/A N/A</v>
        <stp/>
        <stp>BDP|17911622539074036795</stp>
        <tr r="G17" s="2"/>
      </tp>
      <tp t="s">
        <v>#N/A N/A</v>
        <stp/>
        <stp>BDP|11547179863477871033</stp>
        <tr r="L213" s="2"/>
      </tp>
      <tp t="s">
        <v>#N/A Requesting Data...1995537264</v>
        <stp/>
        <stp>BDP|12373273696199987111</stp>
        <tr r="O5" s="1"/>
        <tr r="M29" s="2"/>
      </tp>
      <tp t="s">
        <v>#N/A N/A</v>
        <stp/>
        <stp>BDP|15029988826358313778</stp>
        <tr r="F238" s="2"/>
      </tp>
      <tp t="s">
        <v>#N/A Requesting Data...1767307259</v>
        <stp/>
        <stp>BDP|12167285006262131342</stp>
        <tr r="L26" s="1"/>
        <tr r="J180" s="2"/>
      </tp>
      <tp t="s">
        <v>#N/A N/A</v>
        <stp/>
        <stp>BDP|13762698259584217587</stp>
        <tr r="I167" s="2"/>
      </tp>
      <tp t="s">
        <v>#N/A N/A</v>
        <stp/>
        <stp>BDP|15028295045115944780</stp>
        <tr r="G16" s="2"/>
      </tp>
      <tp t="s">
        <v>#N/A N/A</v>
        <stp/>
        <stp>BDP|15556610758627030012</stp>
        <tr r="I187" s="2"/>
      </tp>
      <tp t="s">
        <v>#N/A N/A</v>
        <stp/>
        <stp>BDP|17121485489033433993</stp>
        <tr r="D285" s="2"/>
      </tp>
      <tp t="s">
        <v>#N/A N/A</v>
        <stp/>
        <stp>BDP|12984086051126889051</stp>
        <tr r="C246" s="2"/>
      </tp>
      <tp t="s">
        <v>#N/A Requesting Data...3119722903</v>
        <stp/>
        <stp>BDP|10661138464873948554</stp>
        <tr r="G5" s="1"/>
        <tr r="E29" s="2"/>
      </tp>
      <tp t="s">
        <v>#N/A N/A</v>
        <stp/>
        <stp>BDP|17976716740380332565</stp>
        <tr r="I45" s="2"/>
      </tp>
      <tp t="s">
        <v>#N/A N/A</v>
        <stp/>
        <stp>BDP|16722478357514951224</stp>
        <tr r="H136" s="2"/>
      </tp>
      <tp t="s">
        <v>#N/A N/A</v>
        <stp/>
        <stp>BDP|10730687861360679143</stp>
        <tr r="F32" s="2"/>
      </tp>
      <tp t="s">
        <v>#N/A N/A</v>
        <stp/>
        <stp>BDP|14654432067943788490</stp>
        <tr r="M275" s="2"/>
      </tp>
      <tp t="s">
        <v>#N/A Requesting Data...2680564869</v>
        <stp/>
        <stp>BDP|14165093301356196349</stp>
        <tr r="E30" s="1"/>
        <tr r="C197" s="2"/>
      </tp>
      <tp t="s">
        <v>#N/A N/A</v>
        <stp/>
        <stp>BDP|17212377518890149431</stp>
        <tr r="M292" s="2"/>
      </tp>
      <tp t="s">
        <v>#N/A N/A</v>
        <stp/>
        <stp>BDP|15726781162901141434</stp>
        <tr r="H26" s="2"/>
      </tp>
      <tp t="s">
        <v>#N/A N/A</v>
        <stp/>
        <stp>BDP|10970613073099469908</stp>
        <tr r="I250" s="2"/>
      </tp>
      <tp t="s">
        <v>#N/A N/A</v>
        <stp/>
        <stp>BDP|12574999686454597609</stp>
        <tr r="H59" s="2"/>
      </tp>
      <tp t="s">
        <v>#N/A N/A</v>
        <stp/>
        <stp>BDP|13404510832974034083</stp>
        <tr r="J40" s="2"/>
      </tp>
      <tp t="s">
        <v>#N/A N/A</v>
        <stp/>
        <stp>BDP|11850783155806256483</stp>
        <tr r="D144" s="2"/>
      </tp>
      <tp t="s">
        <v>#N/A N/A</v>
        <stp/>
        <stp>BDP|14173586014988447962</stp>
        <tr r="K259" s="2"/>
      </tp>
      <tp t="s">
        <v>#N/A N/A</v>
        <stp/>
        <stp>BDP|18250904709014040446</stp>
        <tr r="D270" s="2"/>
      </tp>
      <tp t="s">
        <v>#N/A N/A</v>
        <stp/>
        <stp>BDP|15491213835024682190</stp>
        <tr r="K27" s="2"/>
      </tp>
      <tp t="s">
        <v>#N/A N/A</v>
        <stp/>
        <stp>BDP|16731563339269123860</stp>
        <tr r="H268" s="2"/>
      </tp>
      <tp t="s">
        <v>#N/A N/A</v>
        <stp/>
        <stp>BDP|16280063108004187324</stp>
        <tr r="N92" s="2"/>
      </tp>
      <tp t="s">
        <v>#N/A N/A</v>
        <stp/>
        <stp>BDP|17727981072420306811</stp>
        <tr r="G212" s="2"/>
      </tp>
      <tp t="s">
        <v>#N/A N/A</v>
        <stp/>
        <stp>BDP|17029915362689952050</stp>
        <tr r="C295" s="2"/>
      </tp>
      <tp t="s">
        <v>#N/A N/A</v>
        <stp/>
        <stp>BDP|10283751904606849051</stp>
        <tr r="G104" s="2"/>
      </tp>
      <tp t="s">
        <v>#N/A Requesting Data...2416092287</v>
        <stp/>
        <stp>BDP|18425439520038815712</stp>
        <tr r="O7" s="1"/>
        <tr r="M36" s="2"/>
      </tp>
      <tp t="s">
        <v>#N/A N/A</v>
        <stp/>
        <stp>BDP|15685646158222304572</stp>
        <tr r="E58" s="2"/>
      </tp>
      <tp t="s">
        <v>#N/A N/A</v>
        <stp/>
        <stp>BDP|13783150658183009544</stp>
        <tr r="I24" s="2"/>
      </tp>
      <tp t="s">
        <v>#N/A N/A</v>
        <stp/>
        <stp>BDP|10953583350424991569</stp>
        <tr r="E291" s="2"/>
      </tp>
      <tp t="s">
        <v>#N/A Requesting Data...1969414284</v>
        <stp/>
        <stp>BDP|15766883596486143365</stp>
        <tr r="P7" s="1"/>
        <tr r="N36" s="2"/>
      </tp>
      <tp t="s">
        <v>#N/A N/A</v>
        <stp/>
        <stp>BDP|12572669409395289065</stp>
        <tr r="E168" s="2"/>
      </tp>
      <tp t="s">
        <v>#N/A N/A</v>
        <stp/>
        <stp>BDP|13539736173106876436</stp>
        <tr r="M56" s="2"/>
      </tp>
      <tp t="s">
        <v>#N/A N/A</v>
        <stp/>
        <stp>BDP|11249779170740234061</stp>
        <tr r="F101" s="2"/>
      </tp>
      <tp t="s">
        <v>#N/A N/A</v>
        <stp/>
        <stp>BDP|14416657361124798160</stp>
        <tr r="F16" s="2"/>
      </tp>
      <tp t="s">
        <v>#N/A N/A</v>
        <stp/>
        <stp>BDP|16983546146072953436</stp>
        <tr r="M151" s="2"/>
      </tp>
      <tp t="s">
        <v>#N/A Requesting Data...3929021987</v>
        <stp/>
        <stp>BDP|17037009411192919599</stp>
        <tr r="N16" s="1"/>
        <tr r="L95" s="2"/>
      </tp>
      <tp t="s">
        <v>#N/A Requesting Data...3909426499</v>
        <stp/>
        <stp>BDP|16700357219310970531</stp>
        <tr r="N8" s="1"/>
        <tr r="L38" s="2"/>
      </tp>
      <tp t="s">
        <v>#N/A N/A</v>
        <stp/>
        <stp>BDP|14352075173050130272</stp>
        <tr r="D175" s="2"/>
      </tp>
      <tp t="s">
        <v>#N/A N/A</v>
        <stp/>
        <stp>BDP|16507795490588963146</stp>
        <tr r="E90" s="2"/>
      </tp>
      <tp t="s">
        <v>#N/A Requesting Data...874714540</v>
        <stp/>
        <stp>BDP|16044481258120977683</stp>
        <tr r="K7" s="1"/>
        <tr r="I36" s="2"/>
      </tp>
      <tp t="s">
        <v>#N/A N/A</v>
        <stp/>
        <stp>BDP|13322680520274323297</stp>
        <tr r="M55" s="2"/>
      </tp>
      <tp t="s">
        <v>#N/A Requesting Data...3240601923</v>
        <stp/>
        <stp>BDP|16357196637043865641</stp>
        <tr r="K36" s="1"/>
        <tr r="I260" s="2"/>
      </tp>
      <tp t="s">
        <v>#N/A N/A</v>
        <stp/>
        <stp>BDP|10176788231112119794</stp>
        <tr r="C270" s="2"/>
      </tp>
      <tp t="s">
        <v>#N/A N/A</v>
        <stp/>
        <stp>BDP|14095060401263415630</stp>
        <tr r="L210" s="2"/>
      </tp>
      <tp t="s">
        <v>#N/A N/A</v>
        <stp/>
        <stp>BDP|17708477157934208357</stp>
        <tr r="D225" s="2"/>
      </tp>
      <tp t="s">
        <v>#N/A Requesting Data...4181236866</v>
        <stp/>
        <stp>BDP|10467870979468994634</stp>
        <tr r="G25" s="1"/>
        <tr r="E176" s="2"/>
      </tp>
      <tp t="s">
        <v>#N/A N/A</v>
        <stp/>
        <stp>BDP|13563642340818708860</stp>
        <tr r="N281" s="2"/>
      </tp>
      <tp t="s">
        <v>#N/A N/A</v>
        <stp/>
        <stp>BDP|12402608241973404211</stp>
        <tr r="J183" s="2"/>
      </tp>
      <tp t="s">
        <v>#N/A N/A</v>
        <stp/>
        <stp>BDP|16689058233772565656</stp>
        <tr r="I22" s="2"/>
      </tp>
      <tp t="s">
        <v>#N/A N/A</v>
        <stp/>
        <stp>BDP|15717045926234736223</stp>
        <tr r="M7" s="2"/>
      </tp>
      <tp t="s">
        <v>#N/A Requesting Data...3783128227</v>
        <stp/>
        <stp>BDP|14389502631774098721</stp>
        <tr r="M3" s="1"/>
        <tr r="K20" s="2"/>
      </tp>
      <tp t="s">
        <v>#N/A N/A</v>
        <stp/>
        <stp>BDP|11272731327345068067</stp>
        <tr r="L56" s="2"/>
      </tp>
      <tp t="s">
        <v>#N/A N/A</v>
        <stp/>
        <stp>BDP|16172467395772654879</stp>
        <tr r="L32" s="2"/>
      </tp>
      <tp t="s">
        <v>#N/A N/A</v>
        <stp/>
        <stp>BDP|18308915362714781240</stp>
        <tr r="N302" s="2"/>
      </tp>
      <tp t="s">
        <v>#N/A N/A</v>
        <stp/>
        <stp>BDP|17683790174581159792</stp>
        <tr r="H265" s="2"/>
      </tp>
      <tp t="s">
        <v>#N/A Requesting Data...1225570246</v>
        <stp/>
        <stp>BDP|10778463763407400453</stp>
        <tr r="E31" s="1"/>
        <tr r="C200" s="2"/>
      </tp>
      <tp t="s">
        <v>#N/A N/A</v>
        <stp/>
        <stp>BDP|15821393972303600378</stp>
        <tr r="G189" s="2"/>
      </tp>
      <tp t="s">
        <v>#N/A N/A</v>
        <stp/>
        <stp>BDP|16877822049363506848</stp>
        <tr r="G269" s="2"/>
      </tp>
      <tp t="s">
        <v>#N/A N/A</v>
        <stp/>
        <stp>BDP|14116177036113719454</stp>
        <tr r="J54" s="2"/>
      </tp>
      <tp t="s">
        <v>#N/A Requesting Data...1483577022</v>
        <stp/>
        <stp>BDP|15295867289611697593</stp>
        <tr r="J26" s="1"/>
        <tr r="H180" s="2"/>
      </tp>
      <tp t="s">
        <v>#N/A Requesting Data...840156724</v>
        <stp/>
        <stp>BDP|12489133644856902082</stp>
        <tr r="O39" s="1"/>
        <tr r="M282" s="2"/>
      </tp>
      <tp t="s">
        <v>#N/A N/A</v>
        <stp/>
        <stp>BDP|17863612934913690095</stp>
        <tr r="M267" s="2"/>
      </tp>
      <tp t="s">
        <v>#N/A N/A</v>
        <stp/>
        <stp>BDP|13341025300381670354</stp>
        <tr r="H196" s="2"/>
      </tp>
      <tp t="s">
        <v>#N/A N/A</v>
        <stp/>
        <stp>BDP|14036714344151556725</stp>
        <tr r="K34" s="2"/>
      </tp>
      <tp t="s">
        <v>#N/A N/A</v>
        <stp/>
        <stp>BDP|14619019612802825688</stp>
        <tr r="F177" s="2"/>
      </tp>
      <tp t="s">
        <v>#N/A N/A</v>
        <stp/>
        <stp>BDP|10907347575492897753</stp>
        <tr r="N230" s="2"/>
      </tp>
      <tp t="s">
        <v>#N/A N/A</v>
        <stp/>
        <stp>BDP|16627279202893440628</stp>
        <tr r="H190" s="2"/>
      </tp>
      <tp t="s">
        <v>#N/A N/A</v>
        <stp/>
        <stp>BDP|14651901543411983997</stp>
        <tr r="E226" s="2"/>
      </tp>
      <tp t="s">
        <v>#N/A N/A</v>
        <stp/>
        <stp>BDP|13469603233892145534</stp>
        <tr r="C252" s="2"/>
      </tp>
      <tp t="s">
        <v>#N/A N/A</v>
        <stp/>
        <stp>BDP|10697693131451851537</stp>
        <tr r="E251" s="2"/>
      </tp>
      <tp t="s">
        <v>#N/A N/A</v>
        <stp/>
        <stp>BDP|14358409520875742612</stp>
        <tr r="C265" s="2"/>
      </tp>
      <tp t="s">
        <v>#N/A N/A</v>
        <stp/>
        <stp>BDP|15545601133596226710</stp>
        <tr r="M235" s="2"/>
      </tp>
      <tp t="s">
        <v>#N/A N/A</v>
        <stp/>
        <stp>BDP|14269757210482673143</stp>
        <tr r="J4" s="2"/>
      </tp>
      <tp t="s">
        <v>#N/A Requesting Data...2559755594</v>
        <stp/>
        <stp>BDP|16731756424237170520</stp>
        <tr r="O38" s="1"/>
        <tr r="M278" s="2"/>
      </tp>
      <tp t="s">
        <v>#N/A N/A</v>
        <stp/>
        <stp>BDP|10254768007915192364</stp>
        <tr r="N247" s="2"/>
      </tp>
      <tp t="s">
        <v>#N/A N/A</v>
        <stp/>
        <stp>BDP|14439733962554292030</stp>
        <tr r="D312" s="2"/>
      </tp>
      <tp t="s">
        <v>#N/A N/A</v>
        <stp/>
        <stp>BDP|11654126873237599164</stp>
        <tr r="I266" s="2"/>
      </tp>
      <tp t="s">
        <v>#N/A N/A</v>
        <stp/>
        <stp>BDP|10722767675711077004</stp>
        <tr r="K118" s="2"/>
      </tp>
      <tp t="s">
        <v>#N/A N/A</v>
        <stp/>
        <stp>BDP|14543963897136301331</stp>
        <tr r="N259" s="2"/>
      </tp>
      <tp t="s">
        <v>#N/A Requesting Data...1624896544</v>
        <stp/>
        <stp>BDP|14420688647980877772</stp>
        <tr r="E29" s="1"/>
        <tr r="C193" s="2"/>
      </tp>
      <tp t="s">
        <v>#N/A N/A</v>
        <stp/>
        <stp>BDP|13198658719822841727</stp>
        <tr r="M33" s="2"/>
      </tp>
      <tp t="s">
        <v>#N/A Requesting Data...3483204960</v>
        <stp/>
        <stp>BDP|15881012058986415728</stp>
        <tr r="M40" s="1"/>
        <tr r="K297" s="2"/>
      </tp>
      <tp t="s">
        <v>#N/A N/A</v>
        <stp/>
        <stp>BDP|10952855167476492985</stp>
        <tr r="I263" s="2"/>
      </tp>
      <tp t="s">
        <v>#N/A N/A</v>
        <stp/>
        <stp>BDP|15492632323425623555</stp>
        <tr r="N104" s="2"/>
      </tp>
      <tp t="s">
        <v>#N/A N/A</v>
        <stp/>
        <stp>BDP|16537658721293258042</stp>
        <tr r="K98" s="2"/>
      </tp>
      <tp t="s">
        <v>#N/A N/A</v>
        <stp/>
        <stp>BDP|18226362756087670834</stp>
        <tr r="D284" s="2"/>
      </tp>
      <tp t="s">
        <v>#N/A N/A</v>
        <stp/>
        <stp>BDP|13504520473193308300</stp>
        <tr r="M174" s="2"/>
      </tp>
      <tp t="s">
        <v>#N/A N/A</v>
        <stp/>
        <stp>BDP|16219113963546776601</stp>
        <tr r="M300" s="2"/>
      </tp>
      <tp t="s">
        <v>#N/A Requesting Data...2069435923</v>
        <stp/>
        <stp>BDP|17992523360905948057</stp>
        <tr r="J18" s="1"/>
        <tr r="H131" s="2"/>
      </tp>
      <tp t="s">
        <v>#N/A Requesting Data...3719971107</v>
        <stp/>
        <stp>BDP|12467421131273218722</stp>
        <tr r="F23" s="1"/>
        <tr r="D155" s="2"/>
      </tp>
      <tp t="s">
        <v>#N/A N/A</v>
        <stp/>
        <stp>BDP|10925680622165434019</stp>
        <tr r="C48" s="2"/>
      </tp>
      <tp t="s">
        <v>#N/A N/A</v>
        <stp/>
        <stp>BDP|11306530749933818275</stp>
        <tr r="D305" s="2"/>
      </tp>
      <tp t="s">
        <v>#N/A N/A</v>
        <stp/>
        <stp>BDP|13140658186654272860</stp>
        <tr r="H207" s="2"/>
      </tp>
      <tp t="s">
        <v>#N/A N/A</v>
        <stp/>
        <stp>BDP|12463901063379153502</stp>
        <tr r="E144" s="2"/>
      </tp>
      <tp t="s">
        <v>#N/A N/A</v>
        <stp/>
        <stp>BDP|11076241174177074260</stp>
        <tr r="H9" s="2"/>
      </tp>
      <tp t="s">
        <v>#N/A N/A</v>
        <stp/>
        <stp>BDP|13661015142037360103</stp>
        <tr r="I150" s="2"/>
      </tp>
      <tp t="s">
        <v>#N/A N/A</v>
        <stp/>
        <stp>BDP|10700244593113749914</stp>
        <tr r="K149" s="2"/>
      </tp>
      <tp t="s">
        <v>#N/A N/A</v>
        <stp/>
        <stp>BDP|13837393400784366545</stp>
        <tr r="E112" s="2"/>
      </tp>
      <tp t="s">
        <v>#N/A N/A</v>
        <stp/>
        <stp>BDP|11896790424007439582</stp>
        <tr r="D156" s="2"/>
      </tp>
      <tp t="s">
        <v>#N/A N/A</v>
        <stp/>
        <stp>BDP|14746014628400211056</stp>
        <tr r="L313" s="2"/>
      </tp>
      <tp t="s">
        <v>#N/A N/A</v>
        <stp/>
        <stp>BDP|14705863599807432459</stp>
        <tr r="N133" s="2"/>
      </tp>
      <tp t="s">
        <v>#N/A N/A</v>
        <stp/>
        <stp>BDP|10807236764907367559</stp>
        <tr r="D269" s="2"/>
      </tp>
      <tp t="s">
        <v>#N/A N/A</v>
        <stp/>
        <stp>BDP|10856332853757852792</stp>
        <tr r="K286" s="2"/>
      </tp>
      <tp t="s">
        <v>#N/A N/A</v>
        <stp/>
        <stp>BDP|17045756155602172184</stp>
        <tr r="F25" s="2"/>
      </tp>
      <tp t="s">
        <v>#N/A N/A</v>
        <stp/>
        <stp>BDP|13196412379893718577</stp>
        <tr r="E51" s="2"/>
      </tp>
      <tp t="s">
        <v>#N/A N/A</v>
        <stp/>
        <stp>BDP|15760495123373439607</stp>
        <tr r="E107" s="2"/>
      </tp>
      <tp t="s">
        <v>#N/A N/A</v>
        <stp/>
        <stp>BDP|10553534250372703486</stp>
        <tr r="D154" s="2"/>
      </tp>
      <tp t="s">
        <v>#N/A N/A</v>
        <stp/>
        <stp>BDP|10010725549997636257</stp>
        <tr r="J269" s="2"/>
      </tp>
      <tp t="s">
        <v>#N/A N/A</v>
        <stp/>
        <stp>BDP|17831740617897659051</stp>
        <tr r="L9" s="2"/>
      </tp>
      <tp t="s">
        <v>#N/A N/A</v>
        <stp/>
        <stp>BDP|17453885565537392821</stp>
        <tr r="N116" s="2"/>
      </tp>
      <tp t="s">
        <v>#N/A N/A</v>
        <stp/>
        <stp>BDP|11863996921855923916</stp>
        <tr r="J115" s="2"/>
      </tp>
      <tp t="s">
        <v>#N/A N/A</v>
        <stp/>
        <stp>BDP|10260979094534980201</stp>
        <tr r="G245" s="2"/>
      </tp>
      <tp t="s">
        <v>#N/A N/A</v>
        <stp/>
        <stp>BDP|14836272905759127936</stp>
        <tr r="K305" s="2"/>
      </tp>
      <tp t="s">
        <v>#N/A N/A</v>
        <stp/>
        <stp>BDP|12804186988774428941</stp>
        <tr r="I17" s="2"/>
      </tp>
      <tp t="s">
        <v>#N/A N/A</v>
        <stp/>
        <stp>BDP|11361783473025317235</stp>
        <tr r="K275" s="2"/>
      </tp>
      <tp t="s">
        <v>#N/A N/A</v>
        <stp/>
        <stp>BDP|10882410766115340148</stp>
        <tr r="H132" s="2"/>
      </tp>
      <tp t="s">
        <v>#N/A N/A</v>
        <stp/>
        <stp>BDP|15910545926885039103</stp>
        <tr r="E216" s="2"/>
      </tp>
      <tp t="s">
        <v>#N/A N/A</v>
        <stp/>
        <stp>BDP|14722388866933601440</stp>
        <tr r="J141" s="2"/>
      </tp>
      <tp t="s">
        <v>#N/A N/A</v>
        <stp/>
        <stp>BDP|12944332842623702042</stp>
        <tr r="L221" s="2"/>
      </tp>
      <tp t="s">
        <v>#N/A N/A</v>
        <stp/>
        <stp>BDP|14568234500880531089</stp>
        <tr r="I19" s="2"/>
      </tp>
      <tp t="s">
        <v>#N/A Requesting Data...1992036150</v>
        <stp/>
        <stp>BDP|11273081516107057174</stp>
        <tr r="F10" s="1"/>
        <tr r="D74" s="2"/>
      </tp>
      <tp t="s">
        <v>#N/A N/A</v>
        <stp/>
        <stp>BDP|13525426326323988027</stp>
        <tr r="E304" s="2"/>
      </tp>
      <tp t="s">
        <v>#N/A N/A</v>
        <stp/>
        <stp>BDP|16518672926136640288</stp>
        <tr r="D24" s="2"/>
      </tp>
      <tp t="s">
        <v>#N/A N/A</v>
        <stp/>
        <stp>BDP|12736062839980126736</stp>
        <tr r="F53" s="2"/>
      </tp>
      <tp t="s">
        <v>#N/A N/A</v>
        <stp/>
        <stp>BDP|12933353027375896099</stp>
        <tr r="G32" s="2"/>
      </tp>
      <tp t="s">
        <v>#N/A N/A</v>
        <stp/>
        <stp>BDP|13874630396482603811</stp>
        <tr r="E245" s="2"/>
      </tp>
      <tp t="s">
        <v>#N/A N/A</v>
        <stp/>
        <stp>BDP|10988019195898417739</stp>
        <tr r="L235" s="2"/>
      </tp>
      <tp t="s">
        <v>#N/A N/A</v>
        <stp/>
        <stp>BDP|17203574940038748881</stp>
        <tr r="K30" s="2"/>
      </tp>
      <tp t="s">
        <v>#N/A N/A</v>
        <stp/>
        <stp>BDP|17170627372802200299</stp>
        <tr r="F48" s="2"/>
      </tp>
      <tp t="s">
        <v>#N/A Requesting Data...2673324306</v>
        <stp/>
        <stp>BDP|11885809793004307227</stp>
        <tr r="H21" s="1"/>
        <tr r="F148" s="2"/>
      </tp>
      <tp t="s">
        <v>#N/A Requesting Data...3843215914</v>
        <stp/>
        <stp>BDP|13346548070663468499</stp>
        <tr r="J33" s="1"/>
        <tr r="H223" s="2"/>
      </tp>
      <tp t="s">
        <v>#N/A N/A</v>
        <stp/>
        <stp>BDP|13970400030294301600</stp>
        <tr r="I216" s="2"/>
      </tp>
      <tp t="s">
        <v>#N/A Requesting Data...2286117390</v>
        <stp/>
        <stp>BDP|11621027548976015568</stp>
        <tr r="P10" s="1"/>
        <tr r="N74" s="2"/>
      </tp>
      <tp t="s">
        <v>#N/A N/A</v>
        <stp/>
        <stp>BDP|14908110187192700924</stp>
        <tr r="I202" s="2"/>
      </tp>
      <tp t="s">
        <v>#N/A N/A</v>
        <stp/>
        <stp>BDP|12777990430198025640</stp>
        <tr r="F196" s="2"/>
      </tp>
      <tp t="s">
        <v>#N/A Requesting Data...2219111718</v>
        <stp/>
        <stp>BDP|14323561073073362388</stp>
        <tr r="O32" s="1"/>
        <tr r="M204" s="2"/>
      </tp>
      <tp t="s">
        <v>#N/A N/A</v>
        <stp/>
        <stp>BDP|16208226705770147296</stp>
        <tr r="G141" s="2"/>
      </tp>
      <tp t="s">
        <v>#N/A N/A</v>
        <stp/>
        <stp>BDP|12403125718603057736</stp>
        <tr r="C178" s="2"/>
      </tp>
      <tp t="s">
        <v>#N/A N/A</v>
        <stp/>
        <stp>BDP|13569291103591474661</stp>
        <tr r="C292" s="2"/>
      </tp>
      <tp t="s">
        <v>#N/A N/A</v>
        <stp/>
        <stp>BDP|16070247008296096401</stp>
        <tr r="L149" s="2"/>
      </tp>
      <tp t="s">
        <v>#N/A N/A</v>
        <stp/>
        <stp>BDP|17999629501345234240</stp>
        <tr r="C63" s="2"/>
      </tp>
      <tp t="s">
        <v>#N/A N/A</v>
        <stp/>
        <stp>BDP|14656624546090750090</stp>
        <tr r="C62" s="2"/>
      </tp>
      <tp t="s">
        <v>#N/A N/A</v>
        <stp/>
        <stp>BDP|17584494627162103556</stp>
        <tr r="J202" s="2"/>
      </tp>
      <tp t="s">
        <v>#N/A N/A</v>
        <stp/>
        <stp>BDP|18279670488951105137</stp>
        <tr r="G249" s="2"/>
      </tp>
      <tp t="s">
        <v>#N/A N/A</v>
        <stp/>
        <stp>BDP|10187742538750115233</stp>
        <tr r="H101" s="2"/>
      </tp>
      <tp t="s">
        <v>#N/A N/A</v>
        <stp/>
        <stp>BDP|18214954427916952364</stp>
        <tr r="M128" s="2"/>
      </tp>
      <tp t="s">
        <v>#N/A N/A</v>
        <stp/>
        <stp>BDP|11572228526715793292</stp>
        <tr r="M46" s="2"/>
      </tp>
      <tp t="s">
        <v>#N/A Requesting Data...2088593756</v>
        <stp/>
        <stp>BDP|15177593046467902582</stp>
        <tr r="J35" s="1"/>
        <tr r="H243" s="2"/>
      </tp>
      <tp t="s">
        <v>#N/A N/A</v>
        <stp/>
        <stp>BDP|10026027935482154795</stp>
        <tr r="D72" s="2"/>
      </tp>
      <tp t="s">
        <v>#N/A N/A</v>
        <stp/>
        <stp>BDP|17960100705653606355</stp>
        <tr r="C5" s="2"/>
      </tp>
      <tp t="s">
        <v>#N/A N/A</v>
        <stp/>
        <stp>BDP|11174504537891816004</stp>
        <tr r="I162" s="2"/>
      </tp>
      <tp t="s">
        <v>#N/A Requesting Data...2277636576</v>
        <stp/>
        <stp>BDP|10451475259550787731</stp>
        <tr r="M35" s="1"/>
        <tr r="K243" s="2"/>
      </tp>
      <tp t="s">
        <v>#N/A N/A</v>
        <stp/>
        <stp>BDP|13774164082498403494</stp>
        <tr r="K161" s="2"/>
      </tp>
      <tp t="s">
        <v>#N/A N/A</v>
        <stp/>
        <stp>BDP|12513090327056153044</stp>
        <tr r="M28" s="2"/>
      </tp>
      <tp t="s">
        <v>#N/A N/A</v>
        <stp/>
        <stp>BDP|11256654279264226225</stp>
        <tr r="I190" s="2"/>
      </tp>
      <tp t="s">
        <v>#N/A N/A</v>
        <stp/>
        <stp>BDP|16686543142749266830</stp>
        <tr r="D202" s="2"/>
      </tp>
      <tp t="s">
        <v>#N/A N/A</v>
        <stp/>
        <stp>BDP|14869402673693950238</stp>
        <tr r="L269" s="2"/>
      </tp>
      <tp t="s">
        <v>#N/A N/A</v>
        <stp/>
        <stp>BDP|14432407704703395524</stp>
        <tr r="J264" s="2"/>
      </tp>
      <tp t="s">
        <v>#N/A N/A</v>
        <stp/>
        <stp>BDP|18202959107501351627</stp>
        <tr r="J39" s="2"/>
      </tp>
      <tp t="s">
        <v>#N/A N/A</v>
        <stp/>
        <stp>BDP|10799641645831481535</stp>
        <tr r="J274" s="2"/>
      </tp>
      <tp t="s">
        <v>#N/A Requesting Data...3524114763</v>
        <stp/>
        <stp>BDP|14799701535077320107</stp>
        <tr r="L37" s="1"/>
        <tr r="J276" s="2"/>
      </tp>
      <tp t="s">
        <v>#N/A N/A</v>
        <stp/>
        <stp>BDP|15944145840685539398</stp>
        <tr r="N70" s="2"/>
      </tp>
      <tp t="s">
        <v>#N/A N/A</v>
        <stp/>
        <stp>BDP|13474554126376655404</stp>
        <tr r="N286" s="2"/>
      </tp>
      <tp t="s">
        <v>#N/A N/A</v>
        <stp/>
        <stp>BDP|14080900730569846199</stp>
        <tr r="E166" s="2"/>
      </tp>
      <tp t="s">
        <v>#N/A N/A</v>
        <stp/>
        <stp>BDP|11452554703174653655</stp>
        <tr r="I46" s="2"/>
      </tp>
      <tp t="s">
        <v>#N/A N/A</v>
        <stp/>
        <stp>BDP|14006209858451945413</stp>
        <tr r="G254" s="2"/>
      </tp>
      <tp t="s">
        <v>#N/A Requesting Data...1612331659</v>
        <stp/>
        <stp>BDP|15579714986015396913</stp>
        <tr r="P25" s="1"/>
        <tr r="N176" s="2"/>
      </tp>
      <tp t="s">
        <v>#N/A N/A</v>
        <stp/>
        <stp>BDP|16693664683089236711</stp>
        <tr r="I205" s="2"/>
      </tp>
      <tp t="s">
        <v>#N/A N/A</v>
        <stp/>
        <stp>BDP|13662549757601662430</stp>
        <tr r="K111" s="2"/>
      </tp>
      <tp t="s">
        <v>#N/A N/A</v>
        <stp/>
        <stp>BDP|10548011136877772259</stp>
        <tr r="L41" s="2"/>
      </tp>
      <tp t="s">
        <v>#N/A N/A</v>
        <stp/>
        <stp>BDP|12567025372431003255</stp>
        <tr r="E111" s="2"/>
      </tp>
      <tp t="s">
        <v>#N/A N/A</v>
        <stp/>
        <stp>BDP|13375764782453471932</stp>
        <tr r="M316" s="2"/>
      </tp>
      <tp t="s">
        <v>#N/A N/A</v>
        <stp/>
        <stp>BDP|11158600815771240167</stp>
        <tr r="H43" s="2"/>
      </tp>
      <tp t="s">
        <v>#N/A N/A</v>
        <stp/>
        <stp>BDP|15609863866979487423</stp>
        <tr r="E101" s="2"/>
      </tp>
      <tp t="s">
        <v>#N/A N/A</v>
        <stp/>
        <stp>BDP|11427160007101705722</stp>
        <tr r="K182" s="2"/>
      </tp>
      <tp t="s">
        <v>#N/A N/A</v>
        <stp/>
        <stp>BDP|16820060722677426586</stp>
        <tr r="I123" s="2"/>
      </tp>
      <tp t="s">
        <v>#N/A N/A</v>
        <stp/>
        <stp>BDP|16491319466730271516</stp>
        <tr r="N218" s="2"/>
      </tp>
      <tp t="s">
        <v>#N/A N/A</v>
        <stp/>
        <stp>BDP|18248540702313781805</stp>
        <tr r="J81" s="2"/>
      </tp>
      <tp t="s">
        <v>#N/A N/A</v>
        <stp/>
        <stp>BDP|14490940584471705204</stp>
        <tr r="G123" s="2"/>
      </tp>
      <tp t="s">
        <v>#N/A N/A</v>
        <stp/>
        <stp>BDP|14843613751680989126</stp>
        <tr r="M268" s="2"/>
      </tp>
      <tp t="s">
        <v>#N/A Requesting Data...3523215197</v>
        <stp/>
        <stp>BDP|15035462322542471731</stp>
        <tr r="G21" s="1"/>
        <tr r="E148" s="2"/>
      </tp>
      <tp t="s">
        <v>#N/A N/A</v>
        <stp/>
        <stp>BDP|16932239049131496742</stp>
        <tr r="I7" s="2"/>
      </tp>
      <tp t="s">
        <v>#N/A N/A</v>
        <stp/>
        <stp>BDP|11471492542406862142</stp>
        <tr r="H232" s="2"/>
      </tp>
      <tp t="s">
        <v>#N/A N/A</v>
        <stp/>
        <stp>BDP|16628220010172004169</stp>
        <tr r="N189" s="2"/>
      </tp>
      <tp t="s">
        <v>#N/A N/A</v>
        <stp/>
        <stp>BDP|15718920027689496144</stp>
        <tr r="J103" s="2"/>
      </tp>
      <tp t="s">
        <v>#N/A N/A</v>
        <stp/>
        <stp>BDP|17272578362543432111</stp>
        <tr r="N261" s="2"/>
      </tp>
      <tp t="s">
        <v>#N/A N/A</v>
        <stp/>
        <stp>BDP|16891255619521547232</stp>
        <tr r="H246" s="2"/>
      </tp>
      <tp t="s">
        <v>#N/A N/A</v>
        <stp/>
        <stp>BDP|14585666041077193712</stp>
        <tr r="G182" s="2"/>
      </tp>
      <tp t="s">
        <v>#N/A N/A</v>
        <stp/>
        <stp>BDP|17589474691229562533</stp>
        <tr r="H168" s="2"/>
      </tp>
      <tp t="s">
        <v>#N/A Requesting Data...3705400931</v>
        <stp/>
        <stp>BDP|13212250012514192216</stp>
        <tr r="N34" s="1"/>
        <tr r="L233" s="2"/>
      </tp>
      <tp t="s">
        <v>#N/A N/A</v>
        <stp/>
        <stp>BDP|10180328072847092549</stp>
        <tr r="J266" s="2"/>
      </tp>
      <tp t="s">
        <v>#N/A N/A</v>
        <stp/>
        <stp>BDP|14763955457758052609</stp>
        <tr r="H241" s="2"/>
      </tp>
      <tp t="s">
        <v>#N/A N/A</v>
        <stp/>
        <stp>BDP|14406166471177103378</stp>
        <tr r="J72" s="2"/>
      </tp>
      <tp t="s">
        <v>#N/A N/A</v>
        <stp/>
        <stp>BDP|17410558643578216859</stp>
        <tr r="C158" s="2"/>
      </tp>
      <tp t="s">
        <v>#N/A N/A</v>
        <stp/>
        <stp>BDP|13139054587068443539</stp>
        <tr r="N145" s="2"/>
      </tp>
      <tp t="s">
        <v>#N/A N/A</v>
        <stp/>
        <stp>BDP|11642084577890526080</stp>
        <tr r="E149" s="2"/>
      </tp>
      <tp t="s">
        <v>#N/A N/A</v>
        <stp/>
        <stp>BDP|18264799349368073564</stp>
        <tr r="K314" s="2"/>
      </tp>
      <tp t="s">
        <v>#N/A N/A</v>
        <stp/>
        <stp>BDP|14384152104615025663</stp>
        <tr r="E214" s="2"/>
      </tp>
      <tp t="s">
        <v>#N/A N/A</v>
        <stp/>
        <stp>BDP|16513173362863447402</stp>
        <tr r="C234" s="2"/>
      </tp>
      <tp t="s">
        <v>#N/A N/A</v>
        <stp/>
        <stp>BDP|14910988098074827658</stp>
        <tr r="J270" s="2"/>
      </tp>
      <tp t="s">
        <v>#N/A N/A</v>
        <stp/>
        <stp>BDP|11268511169663858766</stp>
        <tr r="K96" s="2"/>
      </tp>
      <tp t="s">
        <v>#N/A N/A</v>
        <stp/>
        <stp>BDP|10132444940085152302</stp>
        <tr r="E102" s="2"/>
      </tp>
      <tp t="s">
        <v>#N/A N/A</v>
        <stp/>
        <stp>BDP|12245931187303576671</stp>
        <tr r="J163" s="2"/>
      </tp>
      <tp t="s">
        <v>#N/A N/A</v>
        <stp/>
        <stp>BDP|17263937962659168766</stp>
        <tr r="M140" s="2"/>
      </tp>
      <tp t="s">
        <v>#N/A N/A</v>
        <stp/>
        <stp>BDP|11667370256851206025</stp>
        <tr r="K226" s="2"/>
      </tp>
      <tp t="s">
        <v>#N/A N/A</v>
        <stp/>
        <stp>BDP|18097006499301957671</stp>
        <tr r="L241" s="2"/>
      </tp>
      <tp t="s">
        <v>#N/A N/A</v>
        <stp/>
        <stp>BDP|13774454411972366272</stp>
        <tr r="C201" s="2"/>
      </tp>
      <tp t="s">
        <v>#N/A N/A</v>
        <stp/>
        <stp>BDP|10457886663161851906</stp>
        <tr r="M121" s="2"/>
      </tp>
      <tp t="s">
        <v>#N/A N/A</v>
        <stp/>
        <stp>BDP|17666758677707289611</stp>
        <tr r="N169" s="2"/>
      </tp>
      <tp t="s">
        <v>#N/A N/A</v>
        <stp/>
        <stp>BDP|17914221409475412615</stp>
        <tr r="M312" s="2"/>
      </tp>
      <tp t="s">
        <v>#N/A N/A</v>
        <stp/>
        <stp>BDP|18053032585440519644</stp>
        <tr r="C215" s="2"/>
      </tp>
      <tp t="s">
        <v>#N/A N/A</v>
        <stp/>
        <stp>BDP|10053312813501103547</stp>
        <tr r="I279" s="2"/>
      </tp>
      <tp t="s">
        <v>#N/A N/A</v>
        <stp/>
        <stp>BDP|14135311647743477646</stp>
        <tr r="M145" s="2"/>
      </tp>
      <tp t="s">
        <v>#N/A Requesting Data...2150617750</v>
        <stp/>
        <stp>BDP|13665804565399122248</stp>
        <tr r="K17" s="1"/>
        <tr r="I109" s="2"/>
      </tp>
      <tp t="s">
        <v>#N/A N/A</v>
        <stp/>
        <stp>BDP|11902229356582950223</stp>
        <tr r="G35" s="2"/>
      </tp>
      <tp t="s">
        <v>#N/A N/A</v>
        <stp/>
        <stp>BDP|15584754966954648668</stp>
        <tr r="N254" s="2"/>
      </tp>
      <tp t="s">
        <v>#N/A N/A</v>
        <stp/>
        <stp>BDP|12665530517984375470</stp>
        <tr r="K163" s="2"/>
      </tp>
      <tp t="s">
        <v>#N/A N/A</v>
        <stp/>
        <stp>BDP|14545316100810019123</stp>
        <tr r="M230" s="2"/>
      </tp>
      <tp t="s">
        <v>#N/A N/A</v>
        <stp/>
        <stp>BDP|15000129540737650128</stp>
        <tr r="L66" s="2"/>
      </tp>
      <tp t="s">
        <v>#N/A N/A</v>
        <stp/>
        <stp>BDP|12628133294718568423</stp>
        <tr r="D205" s="2"/>
      </tp>
      <tp t="s">
        <v>#N/A N/A</v>
        <stp/>
        <stp>BDP|16521958567876052916</stp>
        <tr r="M206" s="2"/>
      </tp>
      <tp t="s">
        <v>#N/A N/A</v>
        <stp/>
        <stp>BDP|11790227944603464239</stp>
        <tr r="I183" s="2"/>
      </tp>
      <tp t="s">
        <v>#N/A N/A</v>
        <stp/>
        <stp>BDP|12867219454110997323</stp>
        <tr r="E82" s="2"/>
      </tp>
      <tp t="s">
        <v>#N/A N/A</v>
        <stp/>
        <stp>BDP|16043015527857827470</stp>
        <tr r="I280" s="2"/>
      </tp>
      <tp t="s">
        <v>#N/A N/A</v>
        <stp/>
        <stp>BDP|16895380400345896719</stp>
        <tr r="H272" s="2"/>
      </tp>
      <tp t="s">
        <v>#N/A N/A</v>
        <stp/>
        <stp>BDP|18019114241678022299</stp>
        <tr r="K28" s="2"/>
      </tp>
      <tp t="s">
        <v>#N/A N/A</v>
        <stp/>
        <stp>BDP|17112005518108696963</stp>
        <tr r="G295" s="2"/>
      </tp>
      <tp t="s">
        <v>#N/A N/A</v>
        <stp/>
        <stp>BDP|14931818039468064086</stp>
        <tr r="L84" s="2"/>
      </tp>
      <tp t="s">
        <v>#N/A N/A</v>
        <stp/>
        <stp>BDP|17868121515676170675</stp>
        <tr r="I248" s="2"/>
      </tp>
      <tp t="s">
        <v>#N/A N/A</v>
        <stp/>
        <stp>BDP|10450488968791596482</stp>
        <tr r="J128" s="2"/>
      </tp>
      <tp t="s">
        <v>#N/A N/A</v>
        <stp/>
        <stp>BDP|16119508374293921058</stp>
        <tr r="K317" s="2"/>
      </tp>
      <tp t="s">
        <v>#N/A N/A</v>
        <stp/>
        <stp>BDP|13290049936230949701</stp>
        <tr r="F286" s="2"/>
      </tp>
      <tp t="s">
        <v>#N/A N/A</v>
        <stp/>
        <stp>BDP|16978498786949614489</stp>
        <tr r="E103" s="2"/>
      </tp>
      <tp t="s">
        <v>#N/A N/A</v>
        <stp/>
        <stp>BDP|11691815328418022478</stp>
        <tr r="I79" s="2"/>
      </tp>
      <tp t="s">
        <v>#N/A Requesting Data...1609551117</v>
        <stp/>
        <stp>BDP|17827827920249178337</stp>
        <tr r="K10" s="1"/>
        <tr r="I74" s="2"/>
      </tp>
      <tp t="s">
        <v>#N/A N/A</v>
        <stp/>
        <stp>BDP|11353862463651828967</stp>
        <tr r="D84" s="2"/>
      </tp>
      <tp t="s">
        <v>#N/A N/A</v>
        <stp/>
        <stp>BDP|12954807092743688760</stp>
        <tr r="J12" s="2"/>
      </tp>
      <tp t="s">
        <v>#N/A N/A</v>
        <stp/>
        <stp>BDP|14825137544430362671</stp>
        <tr r="F39" s="2"/>
      </tp>
      <tp t="s">
        <v>#N/A N/A</v>
        <stp/>
        <stp>BDP|11085244328411654703</stp>
        <tr r="J241" s="2"/>
      </tp>
      <tp t="s">
        <v>#N/A Requesting Data...3119767955</v>
        <stp/>
        <stp>BDP|10543474939331597147</stp>
        <tr r="P34" s="1"/>
        <tr r="N233" s="2"/>
      </tp>
      <tp t="s">
        <v>#N/A N/A</v>
        <stp/>
        <stp>BDP|17124270433930994160</stp>
        <tr r="I11" s="2"/>
      </tp>
      <tp t="s">
        <v>#N/A Requesting Data...1573359365</v>
        <stp/>
        <stp>BDP|16346857911811541989</stp>
        <tr r="J25" s="1"/>
        <tr r="H176" s="2"/>
      </tp>
      <tp t="s">
        <v>#N/A N/A</v>
        <stp/>
        <stp>BDP|14448670007724659183</stp>
        <tr r="E221" s="2"/>
      </tp>
      <tp t="s">
        <v>#N/A N/A</v>
        <stp/>
        <stp>BDP|17835659604683184520</stp>
        <tr r="C35" s="2"/>
      </tp>
      <tp t="s">
        <v>#N/A N/A</v>
        <stp/>
        <stp>BDP|17249107616727147788</stp>
        <tr r="G126" s="2"/>
      </tp>
      <tp t="s">
        <v>#N/A Requesting Data...1322669177</v>
        <stp/>
        <stp>BDP|13332098399925744898</stp>
        <tr r="K19" s="1"/>
        <tr r="I142" s="2"/>
      </tp>
      <tp t="s">
        <v>#N/A N/A</v>
        <stp/>
        <stp>BDP|14996279509202299386</stp>
        <tr r="H98" s="2"/>
      </tp>
      <tp t="s">
        <v>#N/A N/A</v>
        <stp/>
        <stp>BDP|12224988961339020367</stp>
        <tr r="L239" s="2"/>
      </tp>
      <tp t="s">
        <v>#N/A N/A</v>
        <stp/>
        <stp>BDP|14824068868614915121</stp>
        <tr r="H28" s="2"/>
      </tp>
      <tp t="s">
        <v>#N/A N/A</v>
        <stp/>
        <stp>BDP|13261019044918934833</stp>
        <tr r="G149" s="2"/>
      </tp>
      <tp t="s">
        <v>#N/A N/A</v>
        <stp/>
        <stp>BDP|13773559369403162479</stp>
        <tr r="G49" s="2"/>
      </tp>
      <tp t="s">
        <v>#N/A N/A</v>
        <stp/>
        <stp>BDP|14724123856232910569</stp>
        <tr r="D105" s="2"/>
      </tp>
      <tp t="s">
        <v>#N/A Requesting Data...3034373562</v>
        <stp/>
        <stp>BDP|13326078918910986590</stp>
        <tr r="F28" s="1"/>
        <tr r="D192" s="2"/>
      </tp>
      <tp t="s">
        <v>#N/A N/A</v>
        <stp/>
        <stp>BDP|18041199453738075367</stp>
        <tr r="E137" s="2"/>
      </tp>
      <tp t="s">
        <v>#N/A N/A</v>
        <stp/>
        <stp>BDP|12364900678159468239</stp>
        <tr r="K175" s="2"/>
      </tp>
      <tp t="s">
        <v>#N/A Requesting Data...2049190556</v>
        <stp/>
        <stp>BDP|13694032649391200120</stp>
        <tr r="M26" s="1"/>
        <tr r="K180" s="2"/>
      </tp>
      <tp t="s">
        <v>#N/A N/A</v>
        <stp/>
        <stp>BDP|13141716703620922368</stp>
        <tr r="K289" s="2"/>
      </tp>
      <tp t="s">
        <v>#N/A Requesting Data...2871720818</v>
        <stp/>
        <stp>BDP|18129747035468800343</stp>
        <tr r="G14" s="1"/>
        <tr r="E91" s="2"/>
      </tp>
      <tp t="s">
        <v>#N/A N/A</v>
        <stp/>
        <stp>BDP|14443936253067812801</stp>
        <tr r="D292" s="2"/>
      </tp>
      <tp t="s">
        <v>#N/A N/A</v>
        <stp/>
        <stp>BDP|10300349953815288497</stp>
        <tr r="I5" s="2"/>
      </tp>
      <tp t="s">
        <v>#N/A N/A</v>
        <stp/>
        <stp>BDP|17141307129207140668</stp>
        <tr r="I269" s="2"/>
      </tp>
      <tp t="s">
        <v>#N/A N/A</v>
        <stp/>
        <stp>BDP|16014685716492388424</stp>
        <tr r="H216" s="2"/>
      </tp>
      <tp t="s">
        <v>#N/A N/A</v>
        <stp/>
        <stp>BDP|12009363995946819948</stp>
        <tr r="H158" s="2"/>
      </tp>
      <tp t="s">
        <v>#N/A N/A</v>
        <stp/>
        <stp>BDP|16672963505178972031</stp>
        <tr r="N96" s="2"/>
      </tp>
      <tp t="s">
        <v>#N/A N/A</v>
        <stp/>
        <stp>BDP|12906849135316093871</stp>
        <tr r="L97" s="2"/>
      </tp>
      <tp t="s">
        <v>#N/A N/A</v>
        <stp/>
        <stp>BDP|14444753503356434295</stp>
        <tr r="I265" s="2"/>
      </tp>
      <tp t="s">
        <v>#N/A N/A</v>
        <stp/>
        <stp>BDP|11090018117174864317</stp>
        <tr r="G238" s="2"/>
      </tp>
      <tp t="s">
        <v>#N/A Requesting Data...1329280285</v>
        <stp/>
        <stp>BDP|17571886383989938992</stp>
        <tr r="I22" s="1"/>
        <tr r="G152" s="2"/>
      </tp>
      <tp t="s">
        <v>#N/A N/A</v>
        <stp/>
        <stp>BDP|12963427171057420101</stp>
        <tr r="E239" s="2"/>
      </tp>
      <tp t="s">
        <v>#N/A N/A</v>
        <stp/>
        <stp>BDP|14200750745300536092</stp>
        <tr r="C76" s="2"/>
      </tp>
      <tp t="s">
        <v>#N/A Requesting Data...1594511101</v>
        <stp/>
        <stp>BDP|14065676348753545243</stp>
        <tr r="G39" s="1"/>
        <tr r="E282" s="2"/>
      </tp>
      <tp t="s">
        <v>#N/A N/A</v>
        <stp/>
        <stp>BDP|16415267905030855315</stp>
        <tr r="L98" s="2"/>
      </tp>
      <tp t="s">
        <v>#N/A N/A</v>
        <stp/>
        <stp>BDP|11883044432211807488</stp>
        <tr r="L17" s="2"/>
      </tp>
      <tp t="s">
        <v>#N/A N/A</v>
        <stp/>
        <stp>BDP|11211949607919694663</stp>
        <tr r="H53" s="2"/>
      </tp>
      <tp t="s">
        <v>#N/A N/A</v>
        <stp/>
        <stp>BDP|13804246620075883157</stp>
        <tr r="L37" s="2"/>
      </tp>
      <tp t="s">
        <v>#N/A N/A</v>
        <stp/>
        <stp>BDP|13916750760977490298</stp>
        <tr r="I87" s="2"/>
      </tp>
      <tp t="s">
        <v>#N/A N/A</v>
        <stp/>
        <stp>BDP|16202708470684442572</stp>
        <tr r="L60" s="2"/>
      </tp>
      <tp t="s">
        <v>#N/A N/A</v>
        <stp/>
        <stp>BDP|16006930203709031119</stp>
        <tr r="G55" s="2"/>
      </tp>
      <tp t="s">
        <v>#N/A N/A</v>
        <stp/>
        <stp>BDP|11094705507283157277</stp>
        <tr r="J171" s="2"/>
      </tp>
      <tp t="s">
        <v>#N/A Requesting Data...2381854580</v>
        <stp/>
        <stp>BDP|10145570307383024106</stp>
        <tr r="I24" s="1"/>
        <tr r="G157" s="2"/>
      </tp>
      <tp t="s">
        <v>#N/A N/A</v>
        <stp/>
        <stp>BDP|14706721453387314641</stp>
        <tr r="E261" s="2"/>
      </tp>
      <tp t="s">
        <v>#N/A N/A</v>
        <stp/>
        <stp>BDP|17028235881449481379</stp>
        <tr r="G67" s="2"/>
      </tp>
      <tp t="s">
        <v>#N/A N/A</v>
        <stp/>
        <stp>BDP|12677300467659635960</stp>
        <tr r="D122" s="2"/>
      </tp>
      <tp t="s">
        <v>#N/A N/A</v>
        <stp/>
        <stp>BDP|12022888432086220899</stp>
        <tr r="E312" s="2"/>
      </tp>
      <tp t="s">
        <v>#N/A N/A</v>
        <stp/>
        <stp>BDP|14601476867031190068</stp>
        <tr r="K306" s="2"/>
      </tp>
      <tp t="s">
        <v>#N/A N/A</v>
        <stp/>
        <stp>BDP|12401454780718052102</stp>
        <tr r="N190" s="2"/>
      </tp>
      <tp t="s">
        <v>#N/A N/A</v>
        <stp/>
        <stp>BDP|16913088030533344123</stp>
        <tr r="F213" s="2"/>
      </tp>
      <tp t="s">
        <v>#N/A N/A</v>
        <stp/>
        <stp>BDP|18125571883811068356</stp>
        <tr r="L27" s="2"/>
      </tp>
      <tp t="s">
        <v>#N/A N/A</v>
        <stp/>
        <stp>BDP|16692241238279362995</stp>
        <tr r="D5" s="2"/>
      </tp>
      <tp t="s">
        <v>#N/A Requesting Data...2930574564</v>
        <stp/>
        <stp>BDP|10291711583598006005</stp>
        <tr r="M4" s="1"/>
        <tr r="K21" s="2"/>
      </tp>
      <tp t="s">
        <v>#N/A N/A</v>
        <stp/>
        <stp>BDP|15239592069985294409</stp>
        <tr r="J167" s="2"/>
      </tp>
      <tp t="s">
        <v>#N/A N/A</v>
        <stp/>
        <stp>BDP|14099592125780904454</stp>
        <tr r="H82" s="2"/>
      </tp>
      <tp t="s">
        <v>#N/A N/A</v>
        <stp/>
        <stp>BDP|18089794486341803171</stp>
        <tr r="F166" s="2"/>
      </tp>
      <tp t="s">
        <v>#N/A N/A</v>
        <stp/>
        <stp>BDP|16134811381823615276</stp>
        <tr r="H226" s="2"/>
      </tp>
      <tp t="s">
        <v>#N/A N/A</v>
        <stp/>
        <stp>BDP|11392105254095450735</stp>
        <tr r="L244" s="2"/>
      </tp>
      <tp t="s">
        <v>#N/A N/A</v>
        <stp/>
        <stp>BDP|11416230614715529065</stp>
        <tr r="H125" s="2"/>
      </tp>
      <tp t="s">
        <v>#N/A N/A</v>
        <stp/>
        <stp>BDP|13870368855424165696</stp>
        <tr r="F26" s="2"/>
      </tp>
      <tp t="s">
        <v>#N/A N/A</v>
        <stp/>
        <stp>BDP|17260252900064492602</stp>
        <tr r="H126" s="2"/>
      </tp>
      <tp t="s">
        <v>#N/A N/A</v>
        <stp/>
        <stp>BDP|15518691775421883223</stp>
        <tr r="K165" s="2"/>
      </tp>
      <tp t="s">
        <v>#N/A N/A</v>
        <stp/>
        <stp>BDP|17183602247170525205</stp>
        <tr r="C272" s="2"/>
      </tp>
      <tp t="s">
        <v>#N/A N/A</v>
        <stp/>
        <stp>BDP|17616223609424980678</stp>
        <tr r="I236" s="2"/>
      </tp>
      <tp t="s">
        <v>#N/A N/A</v>
        <stp/>
        <stp>BDP|11198526090823875984</stp>
        <tr r="L141" s="2"/>
      </tp>
      <tp t="s">
        <v>#N/A N/A</v>
        <stp/>
        <stp>BDP|17829297205837320556</stp>
        <tr r="L283" s="2"/>
      </tp>
      <tp t="s">
        <v>#N/A N/A</v>
        <stp/>
        <stp>BDP|13317243770219579808</stp>
        <tr r="H46" s="2"/>
      </tp>
      <tp t="s">
        <v>#N/A N/A</v>
        <stp/>
        <stp>BDP|10114153061268694817</stp>
        <tr r="K127" s="2"/>
      </tp>
      <tp t="s">
        <v>#N/A N/A</v>
        <stp/>
        <stp>BDP|15063129946850276743</stp>
        <tr r="M18" s="2"/>
      </tp>
      <tp t="s">
        <v>#N/A N/A</v>
        <stp/>
        <stp>BDP|13442410467425041307</stp>
        <tr r="J44" s="2"/>
      </tp>
      <tp t="s">
        <v>#N/A N/A</v>
        <stp/>
        <stp>BDP|12772376070215641444</stp>
        <tr r="K178" s="2"/>
      </tp>
      <tp t="s">
        <v>#N/A Requesting Data...3431229472</v>
        <stp/>
        <stp>BDP|11880038896978684793</stp>
        <tr r="F31" s="1"/>
        <tr r="D200" s="2"/>
      </tp>
      <tp t="s">
        <v>#N/A N/A</v>
        <stp/>
        <stp>BDP|10178053484686781958</stp>
        <tr r="N264" s="2"/>
      </tp>
      <tp t="s">
        <v>#N/A Requesting Data...3836433364</v>
        <stp/>
        <stp>BDP|18062806215675170361</stp>
        <tr r="P28" s="1"/>
        <tr r="N192" s="2"/>
      </tp>
      <tp t="s">
        <v>#N/A N/A</v>
        <stp/>
        <stp>BDP|14075724374540324372</stp>
        <tr r="F19" s="2"/>
      </tp>
      <tp t="s">
        <v>#N/A N/A</v>
        <stp/>
        <stp>BDP|15128345534174659655</stp>
        <tr r="L225" s="2"/>
      </tp>
      <tp t="s">
        <v>#N/A N/A</v>
        <stp/>
        <stp>BDP|15160629141415297527</stp>
        <tr r="K141" s="2"/>
      </tp>
      <tp t="s">
        <v>#N/A N/A</v>
        <stp/>
        <stp>BDP|14232787221107856169</stp>
        <tr r="F151" s="2"/>
      </tp>
      <tp t="s">
        <v>#N/A N/A</v>
        <stp/>
        <stp>BDP|15994088325708972882</stp>
        <tr r="I174" s="2"/>
      </tp>
      <tp t="s">
        <v>#N/A N/A</v>
        <stp/>
        <stp>BDP|10095499437010867034</stp>
        <tr r="G128" s="2"/>
      </tp>
      <tp t="s">
        <v>#N/A N/A</v>
        <stp/>
        <stp>BDP|13647585637086853445</stp>
        <tr r="N250" s="2"/>
      </tp>
      <tp t="s">
        <v>#N/A N/A</v>
        <stp/>
        <stp>BDP|10374828000086698927</stp>
        <tr r="J147" s="2"/>
      </tp>
      <tp t="s">
        <v>#N/A N/A</v>
        <stp/>
        <stp>BDP|16235000203394160553</stp>
        <tr r="J43" s="2"/>
      </tp>
      <tp t="s">
        <v>#N/A N/A</v>
        <stp/>
        <stp>BDP|14544422451255191733</stp>
        <tr r="I26" s="2"/>
      </tp>
      <tp t="s">
        <v>#N/A Requesting Data...2791506615</v>
        <stp/>
        <stp>BDP|16653777712985148263</stp>
        <tr r="N37" s="1"/>
        <tr r="L276" s="2"/>
      </tp>
      <tp t="s">
        <v>#N/A Requesting Data...1990527782</v>
        <stp/>
        <stp>BDP|14015172456026680137</stp>
        <tr r="H32" s="1"/>
        <tr r="F204" s="2"/>
      </tp>
      <tp t="s">
        <v>#N/A N/A</v>
        <stp/>
        <stp>BDP|12269093548670446136</stp>
        <tr r="I136" s="2"/>
      </tp>
      <tp t="s">
        <v>#N/A N/A</v>
        <stp/>
        <stp>BDP|16356226702120533325</stp>
        <tr r="I60" s="2"/>
      </tp>
      <tp t="s">
        <v>#N/A N/A</v>
        <stp/>
        <stp>BDP|11648441426629437978</stp>
        <tr r="N238" s="2"/>
      </tp>
      <tp t="s">
        <v>#N/A Requesting Data...2678516886</v>
        <stp/>
        <stp>BDP|11947033044304135688</stp>
        <tr r="P22" s="1"/>
        <tr r="N152" s="2"/>
      </tp>
      <tp t="s">
        <v>#N/A N/A</v>
        <stp/>
        <stp>BDP|15845990289514962769</stp>
        <tr r="D106" s="2"/>
      </tp>
      <tp t="s">
        <v>#N/A N/A</v>
        <stp/>
        <stp>BDP|16292656185797431816</stp>
        <tr r="M40" s="2"/>
      </tp>
      <tp t="s">
        <v>#N/A Requesting Data...2649471249</v>
        <stp/>
        <stp>BDP|17287895692553625287</stp>
        <tr r="L29" s="1"/>
        <tr r="J193" s="2"/>
      </tp>
      <tp t="s">
        <v>#N/A N/A</v>
        <stp/>
        <stp>BDP|15719730600516000338</stp>
        <tr r="L292" s="2"/>
      </tp>
      <tp t="s">
        <v>#N/A N/A</v>
        <stp/>
        <stp>BDP|11165301565271446272</stp>
        <tr r="E248" s="2"/>
      </tp>
      <tp t="s">
        <v>#N/A N/A</v>
        <stp/>
        <stp>BDP|14792914660084995880</stp>
        <tr r="E275" s="2"/>
      </tp>
      <tp t="s">
        <v>#N/A N/A</v>
        <stp/>
        <stp>BDP|16140861841019720463</stp>
        <tr r="F135" s="2"/>
      </tp>
      <tp t="s">
        <v>#N/A Requesting Data...3025885408</v>
        <stp/>
        <stp>BDP|10920236237934820234</stp>
        <tr r="I20" s="1"/>
        <tr r="G146" s="2"/>
      </tp>
      <tp t="s">
        <v>#N/A N/A</v>
        <stp/>
        <stp>BDP|17758978587034730567</stp>
        <tr r="C161" s="2"/>
      </tp>
      <tp t="s">
        <v>#N/A N/A</v>
        <stp/>
        <stp>BDP|14231074312177196506</stp>
        <tr r="C239" s="2"/>
      </tp>
      <tp t="s">
        <v>#N/A N/A</v>
        <stp/>
        <stp>BDP|15999786061242540135</stp>
        <tr r="L118" s="2"/>
      </tp>
      <tp t="s">
        <v>#N/A N/A</v>
        <stp/>
        <stp>BDP|11295353761875870687</stp>
        <tr r="F18" s="2"/>
      </tp>
      <tp t="s">
        <v>#N/A N/A</v>
        <stp/>
        <stp>BDP|15396512725527976289</stp>
        <tr r="J62" s="2"/>
      </tp>
      <tp t="s">
        <v>#N/A N/A</v>
        <stp/>
        <stp>BDP|16037704054463441061</stp>
        <tr r="E141" s="2"/>
      </tp>
      <tp t="s">
        <v>#N/A Requesting Data...2884777711</v>
        <stp/>
        <stp>BDP|15646335366193989737</stp>
        <tr r="H38" s="1"/>
        <tr r="F278" s="2"/>
      </tp>
      <tp t="s">
        <v>#N/A N/A</v>
        <stp/>
        <stp>BDP|11917736804282509026</stp>
        <tr r="H160" s="2"/>
      </tp>
      <tp t="s">
        <v>#N/A N/A</v>
        <stp/>
        <stp>BDP|11909063146545854480</stp>
        <tr r="E140" s="2"/>
      </tp>
      <tp t="s">
        <v>#N/A N/A</v>
        <stp/>
        <stp>BDP|13252721588629266136</stp>
        <tr r="I214" s="2"/>
      </tp>
      <tp t="s">
        <v>#N/A N/A</v>
        <stp/>
        <stp>BDP|10241027749807787772</stp>
        <tr r="L209" s="2"/>
      </tp>
      <tp t="s">
        <v>#N/A N/A</v>
        <stp/>
        <stp>BDP|10258190353213511341</stp>
        <tr r="K87" s="2"/>
      </tp>
      <tp t="s">
        <v>#N/A N/A</v>
        <stp/>
        <stp>BDP|13519446969320884599</stp>
        <tr r="H141" s="2"/>
      </tp>
      <tp t="s">
        <v>#N/A N/A</v>
        <stp/>
        <stp>BDP|15358053266407930011</stp>
        <tr r="J100" s="2"/>
      </tp>
      <tp t="s">
        <v>#N/A N/A</v>
        <stp/>
        <stp>BDP|13958516411386081523</stp>
        <tr r="H100" s="2"/>
      </tp>
      <tp t="s">
        <v>#N/A N/A</v>
        <stp/>
        <stp>BDP|11023042666365881611</stp>
        <tr r="F310" s="2"/>
      </tp>
      <tp t="s">
        <v>#N/A N/A</v>
        <stp/>
        <stp>BDP|13807770315337838692</stp>
        <tr r="E126" s="2"/>
      </tp>
      <tp t="s">
        <v>#N/A Requesting Data...2247164220</v>
        <stp/>
        <stp>BDP|17887513442463489147</stp>
        <tr r="E15" s="1"/>
        <tr r="C93" s="2"/>
      </tp>
      <tp t="s">
        <v>#N/A N/A</v>
        <stp/>
        <stp>BDP|13036424163002991739</stp>
        <tr r="K150" s="2"/>
      </tp>
      <tp t="s">
        <v>#N/A N/A</v>
        <stp/>
        <stp>BDP|12554646494241753892</stp>
        <tr r="G137" s="2"/>
      </tp>
      <tp t="s">
        <v>#N/A N/A</v>
        <stp/>
        <stp>BDP|12902762155907348337</stp>
        <tr r="N214" s="2"/>
      </tp>
      <tp t="s">
        <v>#N/A N/A</v>
        <stp/>
        <stp>BDP|14065801419159402079</stp>
        <tr r="G7" s="2"/>
      </tp>
      <tp t="s">
        <v>#N/A N/A</v>
        <stp/>
        <stp>BDP|17044615633946846009</stp>
        <tr r="L35" s="2"/>
      </tp>
      <tp t="s">
        <v>#N/A N/A</v>
        <stp/>
        <stp>BDP|17562488918144125296</stp>
        <tr r="L212" s="2"/>
      </tp>
      <tp t="s">
        <v>#N/A Requesting Data...1348182490</v>
        <stp/>
        <stp>BDP|13624157601022848473</stp>
        <tr r="P35" s="1"/>
        <tr r="N243" s="2"/>
      </tp>
      <tp t="s">
        <v>#N/A N/A</v>
        <stp/>
        <stp>BDP|17092558511806997100</stp>
        <tr r="M185" s="2"/>
      </tp>
      <tp t="s">
        <v>#N/A N/A</v>
        <stp/>
        <stp>BDP|14498139116662960257</stp>
        <tr r="F262" s="2"/>
      </tp>
      <tp t="s">
        <v>#N/A Requesting Data...2131174122</v>
        <stp/>
        <stp>BDP|16312735048363223272</stp>
        <tr r="I23" s="1"/>
        <tr r="G155" s="2"/>
      </tp>
      <tp t="s">
        <v>#N/A N/A</v>
        <stp/>
        <stp>BDP|14668071722863672193</stp>
        <tr r="D274" s="2"/>
      </tp>
      <tp t="s">
        <v>#N/A N/A</v>
        <stp/>
        <stp>BDP|15755003596178940049</stp>
        <tr r="H99" s="2"/>
      </tp>
      <tp t="s">
        <v>#N/A N/A</v>
        <stp/>
        <stp>BDP|12087967164051762896</stp>
        <tr r="K299" s="2"/>
      </tp>
      <tp t="s">
        <v>#N/A N/A</v>
        <stp/>
        <stp>BDP|17405047827455245495</stp>
        <tr r="M108" s="2"/>
      </tp>
      <tp t="s">
        <v>#N/A N/A</v>
        <stp/>
        <stp>BDP|16445456351706512592</stp>
        <tr r="G53" s="2"/>
      </tp>
      <tp t="s">
        <v>#N/A N/A</v>
        <stp/>
        <stp>BDP|14705517938227004120</stp>
        <tr r="H263" s="2"/>
      </tp>
      <tp t="s">
        <v>#N/A N/A</v>
        <stp/>
        <stp>BDP|14266648267071606185</stp>
        <tr r="K293" s="2"/>
      </tp>
      <tp t="s">
        <v>#N/A N/A</v>
        <stp/>
        <stp>BDP|12212985714938302625</stp>
        <tr r="K300" s="2"/>
      </tp>
      <tp t="s">
        <v>#N/A N/A</v>
        <stp/>
        <stp>BDP|15147811719440674809</stp>
        <tr r="I159" s="2"/>
      </tp>
      <tp t="s">
        <v>#N/A N/A</v>
        <stp/>
        <stp>BDP|16127838032650854977</stp>
        <tr r="E69" s="2"/>
      </tp>
      <tp t="s">
        <v>#N/A Requesting Data...1386206561</v>
        <stp/>
        <stp>BDP|17003836534970835801</stp>
        <tr r="P19" s="1"/>
        <tr r="N142" s="2"/>
      </tp>
      <tp t="s">
        <v>#N/A N/A</v>
        <stp/>
        <stp>BDP|13536507326491959159</stp>
        <tr r="D48" s="2"/>
      </tp>
      <tp t="s">
        <v>#N/A Requesting Data...1997844099</v>
        <stp/>
        <stp>BDP|11444558811817809678</stp>
        <tr r="I25" s="1"/>
        <tr r="G176" s="2"/>
      </tp>
      <tp t="s">
        <v>#N/A N/A</v>
        <stp/>
        <stp>BDP|13089259864501872262</stp>
        <tr r="I6" s="2"/>
      </tp>
      <tp t="s">
        <v>#N/A Requesting Data...2027983375</v>
        <stp/>
        <stp>BDP|11605273771477966761</stp>
        <tr r="H27" s="1"/>
        <tr r="F181" s="2"/>
      </tp>
      <tp t="s">
        <v>#N/A N/A</v>
        <stp/>
        <stp>BDP|10535430265202428486</stp>
        <tr r="C168" s="2"/>
      </tp>
      <tp t="s">
        <v>#N/A N/A</v>
        <stp/>
        <stp>BDP|12441933882672975524</stp>
        <tr r="I51" s="2"/>
      </tp>
      <tp t="s">
        <v>#N/A N/A</v>
        <stp/>
        <stp>BDP|10377088562924166666</stp>
        <tr r="L143" s="2"/>
      </tp>
      <tp t="s">
        <v>#N/A N/A</v>
        <stp/>
        <stp>BDP|10074325766704901533</stp>
        <tr r="J275" s="2"/>
      </tp>
      <tp t="s">
        <v>#N/A N/A</v>
        <stp/>
        <stp>BDP|12943674161660124600</stp>
        <tr r="C247" s="2"/>
      </tp>
      <tp t="s">
        <v>#N/A Requesting Data...1150454355</v>
        <stp/>
        <stp>BDP|12745583895109880337</stp>
        <tr r="F11" s="1"/>
        <tr r="D78" s="2"/>
      </tp>
      <tp t="s">
        <v>#N/A N/A</v>
        <stp/>
        <stp>BDP|11243094692168193491</stp>
        <tr r="F103" s="2"/>
      </tp>
      <tp t="s">
        <v>#N/A N/A</v>
        <stp/>
        <stp>BDP|13061470532362130257</stp>
        <tr r="D253" s="2"/>
      </tp>
      <tp t="s">
        <v>#N/A N/A</v>
        <stp/>
        <stp>BDP|17719060168290845500</stp>
        <tr r="J116" s="2"/>
      </tp>
      <tp t="s">
        <v>#N/A N/A</v>
        <stp/>
        <stp>BDP|13586906181126383061</stp>
        <tr r="H270" s="2"/>
      </tp>
      <tp t="s">
        <v>#N/A N/A</v>
        <stp/>
        <stp>BDP|10515760544581102670</stp>
        <tr r="K281" s="2"/>
      </tp>
      <tp t="s">
        <v>#N/A N/A</v>
        <stp/>
        <stp>BDP|13766724701785396575</stp>
        <tr r="F140" s="2"/>
      </tp>
      <tp t="s">
        <v>#N/A N/A</v>
        <stp/>
        <stp>BDP|15724540215371291445</stp>
        <tr r="F232" s="2"/>
      </tp>
      <tp t="s">
        <v>#N/A N/A</v>
        <stp/>
        <stp>BDP|16339051692319558215</stp>
        <tr r="H45" s="2"/>
      </tp>
      <tp t="s">
        <v>#N/A N/A</v>
        <stp/>
        <stp>BDP|17405277346455622030</stp>
        <tr r="G225" s="2"/>
      </tp>
      <tp t="s">
        <v>#N/A Requesting Data...1864626691</v>
        <stp/>
        <stp>BDP|17878114378326749365</stp>
        <tr r="J17" s="1"/>
        <tr r="H109" s="2"/>
      </tp>
      <tp t="s">
        <v>#N/A N/A</v>
        <stp/>
        <stp>BDP|12597733472891368773</stp>
        <tr r="K154" s="2"/>
      </tp>
      <tp t="s">
        <v>#N/A N/A</v>
        <stp/>
        <stp>BDP|15463127711030465132</stp>
        <tr r="L236" s="2"/>
      </tp>
      <tp t="s">
        <v>#N/A Requesting Data...3502901960</v>
        <stp/>
        <stp>BDP|10733080609514470025</stp>
        <tr r="M33" s="1"/>
        <tr r="K223" s="2"/>
      </tp>
      <tp t="s">
        <v>#N/A N/A</v>
        <stp/>
        <stp>BDP|10191013603305012103</stp>
        <tr r="L83" s="2"/>
      </tp>
      <tp t="s">
        <v>#N/A N/A</v>
        <stp/>
        <stp>BDP|11202509336080409330</stp>
        <tr r="G163" s="2"/>
      </tp>
      <tp t="s">
        <v>#N/A N/A</v>
        <stp/>
        <stp>BDP|17235409656184727607</stp>
        <tr r="E294" s="2"/>
      </tp>
      <tp t="s">
        <v>#N/A N/A</v>
        <stp/>
        <stp>BDP|16082025902125378709</stp>
        <tr r="H135" s="2"/>
      </tp>
      <tp t="s">
        <v>#N/A N/A</v>
        <stp/>
        <stp>BDP|15211263904950447378</stp>
        <tr r="L45" s="2"/>
      </tp>
      <tp t="s">
        <v>#N/A N/A</v>
        <stp/>
        <stp>BDP|11510167532347402060</stp>
        <tr r="J250" s="2"/>
      </tp>
      <tp t="s">
        <v>#N/A Requesting Data...3116257364</v>
        <stp/>
        <stp>BDP|17129148867247253339</stp>
        <tr r="H6" s="1"/>
        <tr r="F31" s="2"/>
      </tp>
      <tp t="s">
        <v>#N/A N/A</v>
        <stp/>
        <stp>BDP|14170406821004206208</stp>
        <tr r="C280" s="2"/>
      </tp>
      <tp t="s">
        <v>#N/A N/A</v>
        <stp/>
        <stp>BDP|16251238652680877594</stp>
        <tr r="D52" s="2"/>
      </tp>
      <tp t="s">
        <v>#N/A N/A</v>
        <stp/>
        <stp>BDP|11476342503214997280</stp>
        <tr r="D306" s="2"/>
      </tp>
      <tp t="s">
        <v>#N/A N/A</v>
        <stp/>
        <stp>BDP|15348270714574760654</stp>
        <tr r="C121" s="2"/>
      </tp>
      <tp t="s">
        <v>#N/A N/A</v>
        <stp/>
        <stp>BDP|14967231569007550340</stp>
        <tr r="C57" s="2"/>
      </tp>
      <tp t="s">
        <v>#N/A N/A</v>
        <stp/>
        <stp>BDP|16627753209701171490</stp>
        <tr r="I81" s="2"/>
      </tp>
      <tp t="s">
        <v>#N/A N/A</v>
        <stp/>
        <stp>BDP|17958774210193858643</stp>
        <tr r="M143" s="2"/>
      </tp>
      <tp t="s">
        <v>#N/A N/A</v>
        <stp/>
        <stp>BDP|17054734977545669679</stp>
        <tr r="K225" s="2"/>
      </tp>
      <tp t="s">
        <v>#N/A N/A</v>
        <stp/>
        <stp>BDP|14243100394749572168</stp>
        <tr r="J198" s="2"/>
      </tp>
      <tp t="s">
        <v>#N/A N/A</v>
        <stp/>
        <stp>BDP|13871127225345933133</stp>
        <tr r="L107" s="2"/>
      </tp>
      <tp t="s">
        <v>#N/A N/A</v>
        <stp/>
        <stp>BDP|16060370394490059864</stp>
        <tr r="E5" s="2"/>
      </tp>
      <tp t="s">
        <v>#N/A N/A</v>
        <stp/>
        <stp>BDP|12301907283987687031</stp>
        <tr r="M258" s="2"/>
      </tp>
      <tp t="s">
        <v>#N/A N/A</v>
        <stp/>
        <stp>BDP|16961591634365397128</stp>
        <tr r="C88" s="2"/>
      </tp>
      <tp t="s">
        <v>#N/A N/A</v>
        <stp/>
        <stp>BDP|16402926904239294259</stp>
        <tr r="I144" s="2"/>
      </tp>
      <tp t="s">
        <v>#N/A N/A</v>
        <stp/>
        <stp>BDP|16626663180424482806</stp>
        <tr r="D291" s="2"/>
      </tp>
      <tp t="s">
        <v>#N/A N/A</v>
        <stp/>
        <stp>BDP|18381135401639194448</stp>
        <tr r="I267" s="2"/>
      </tp>
      <tp t="s">
        <v>#N/A N/A</v>
        <stp/>
        <stp>BDP|12789129076012595224</stp>
        <tr r="L116" s="2"/>
      </tp>
      <tp t="s">
        <v>#N/A N/A</v>
        <stp/>
        <stp>BDP|16065954090564228634</stp>
        <tr r="K211" s="2"/>
      </tp>
      <tp t="s">
        <v>#N/A N/A</v>
        <stp/>
        <stp>BDP|12286315240985567422</stp>
        <tr r="M212" s="2"/>
      </tp>
      <tp t="s">
        <v>#N/A N/A</v>
        <stp/>
        <stp>BDP|13405300712571674442</stp>
        <tr r="C298" s="2"/>
      </tp>
      <tp t="s">
        <v>#N/A N/A</v>
        <stp/>
        <stp>BDP|18387266874420123973</stp>
        <tr r="H218" s="2"/>
      </tp>
      <tp t="s">
        <v>#N/A Requesting Data...2371839627</v>
        <stp/>
        <stp>BDP|13651090538075088105</stp>
        <tr r="K40" s="1"/>
        <tr r="I297" s="2"/>
      </tp>
      <tp t="s">
        <v>#N/A N/A</v>
        <stp/>
        <stp>BDP|13419960892001605619</stp>
        <tr r="N118" s="2"/>
      </tp>
      <tp t="s">
        <v>#N/A N/A</v>
        <stp/>
        <stp>BDP|15408562253978036966</stp>
        <tr r="K84" s="2"/>
      </tp>
      <tp t="s">
        <v>#N/A N/A</v>
        <stp/>
        <stp>BDP|17461625855029291964</stp>
        <tr r="E159" s="2"/>
      </tp>
      <tp t="s">
        <v>#N/A N/A</v>
        <stp/>
        <stp>BDP|13658335107153126740</stp>
        <tr r="J139" s="2"/>
      </tp>
      <tp t="s">
        <v>#N/A Requesting Data...2717924345</v>
        <stp/>
        <stp>BDP|13768773152455459016</stp>
        <tr r="P27" s="1"/>
        <tr r="N181" s="2"/>
      </tp>
      <tp t="s">
        <v>#N/A N/A</v>
        <stp/>
        <stp>BDP|16373120134013777352</stp>
        <tr r="E213" s="2"/>
      </tp>
      <tp t="s">
        <v>#N/A N/A</v>
        <stp/>
        <stp>BDP|10111589494590970821</stp>
        <tr r="G302" s="2"/>
      </tp>
      <tp t="s">
        <v>#N/A N/A</v>
        <stp/>
        <stp>BDP|13301065661959198836</stp>
        <tr r="C304" s="2"/>
      </tp>
      <tp t="s">
        <v>#N/A N/A</v>
        <stp/>
        <stp>BDP|17111903376255633870</stp>
        <tr r="L22" s="2"/>
      </tp>
      <tp t="s">
        <v>#N/A N/A</v>
        <stp/>
        <stp>BDP|15397653706503158478</stp>
        <tr r="D40" s="2"/>
      </tp>
      <tp t="s">
        <v>#N/A N/A</v>
        <stp/>
        <stp>BDP|11936066108452728761</stp>
        <tr r="N81" s="2"/>
      </tp>
      <tp t="s">
        <v>#N/A Requesting Data...2868902626</v>
        <stp/>
        <stp>BDP|15366331156562335530</stp>
        <tr r="E12" s="1"/>
        <tr r="C85" s="2"/>
      </tp>
      <tp t="s">
        <v>#N/A Requesting Data...3516541797</v>
        <stp/>
        <stp>BDP|16639831328511280998</stp>
        <tr r="I15" s="1"/>
        <tr r="G93" s="2"/>
      </tp>
      <tp t="s">
        <v>#N/A Requesting Data...2426297760</v>
        <stp/>
        <stp>BDP|14484331904460380360</stp>
        <tr r="J19" s="1"/>
        <tr r="H142" s="2"/>
      </tp>
      <tp t="s">
        <v>#N/A Requesting Data...1443436444</v>
        <stp/>
        <stp>BDP|17345030107357116403</stp>
        <tr r="F33" s="1"/>
        <tr r="D223" s="2"/>
      </tp>
      <tp t="s">
        <v>#N/A N/A</v>
        <stp/>
        <stp>BDP|13289880347978481200</stp>
        <tr r="E133" s="2"/>
      </tp>
      <tp t="s">
        <v>#N/A Requesting Data...2174754047</v>
        <stp/>
        <stp>BDP|16717781702893257762</stp>
        <tr r="F25" s="1"/>
        <tr r="D176" s="2"/>
      </tp>
      <tp t="s">
        <v>#N/A N/A</v>
        <stp/>
        <stp>BDP|11482255185438441693</stp>
        <tr r="E122" s="2"/>
      </tp>
      <tp t="s">
        <v>#N/A N/A</v>
        <stp/>
        <stp>BDP|16599117660384475094</stp>
        <tr r="D34" s="2"/>
      </tp>
      <tp t="s">
        <v>#N/A N/A</v>
        <stp/>
        <stp>BDP|12617847744409997266</stp>
        <tr r="G61" s="2"/>
      </tp>
      <tp t="s">
        <v>#N/A N/A</v>
        <stp/>
        <stp>BDP|18187548093210775184</stp>
        <tr r="J118" s="2"/>
      </tp>
      <tp t="s">
        <v>#N/A N/A</v>
        <stp/>
        <stp>BDP|14111201421498139987</stp>
        <tr r="I182" s="2"/>
      </tp>
      <tp t="s">
        <v>#N/A N/A</v>
        <stp/>
        <stp>BDP|13065568237244957403</stp>
        <tr r="D23" s="2"/>
      </tp>
      <tp t="s">
        <v>#N/A N/A</v>
        <stp/>
        <stp>BDP|13063239575192952172</stp>
        <tr r="C225" s="2"/>
      </tp>
      <tp t="s">
        <v>#N/A N/A</v>
        <stp/>
        <stp>BDP|12591523253745806245</stp>
        <tr r="H235" s="2"/>
      </tp>
      <tp t="s">
        <v>#N/A N/A</v>
        <stp/>
        <stp>BDP|10444790401134320679</stp>
        <tr r="I48" s="2"/>
      </tp>
      <tp t="s">
        <v>#N/A N/A</v>
        <stp/>
        <stp>BDP|13568246275726971551</stp>
        <tr r="N27" s="2"/>
      </tp>
      <tp t="s">
        <v>#N/A N/A</v>
        <stp/>
        <stp>BDP|15853224476300308575</stp>
        <tr r="M199" s="2"/>
      </tp>
      <tp t="s">
        <v>#N/A Requesting Data...1630343407</v>
        <stp/>
        <stp>BDP|17986450855165077619</stp>
        <tr r="M29" s="1"/>
        <tr r="K193" s="2"/>
      </tp>
      <tp t="s">
        <v>#N/A N/A</v>
        <stp/>
        <stp>BDP|11488560593088851027</stp>
        <tr r="F90" s="2"/>
      </tp>
      <tp t="s">
        <v>#N/A N/A</v>
        <stp/>
        <stp>BDP|10143574216593944228</stp>
        <tr r="G190" s="2"/>
      </tp>
      <tp t="s">
        <v>#N/A N/A</v>
        <stp/>
        <stp>BDP|13596330306472261795</stp>
        <tr r="E175" s="2"/>
      </tp>
      <tp t="s">
        <v>#N/A N/A</v>
        <stp/>
        <stp>BDP|15264915884907978651</stp>
        <tr r="C310" s="2"/>
      </tp>
      <tp t="s">
        <v>#N/A Requesting Data...1787916297</v>
        <stp/>
        <stp>BDP|13000743547515907015</stp>
        <tr r="E8" s="1"/>
        <tr r="C38" s="2"/>
      </tp>
      <tp t="s">
        <v>#N/A N/A</v>
        <stp/>
        <stp>BDP|13924769693730488836</stp>
        <tr r="H117" s="2"/>
      </tp>
      <tp t="s">
        <v>#N/A Requesting Data...2226777204</v>
        <stp/>
        <stp>BDP|13675792117026612654</stp>
        <tr r="I16" s="1"/>
        <tr r="G95" s="2"/>
      </tp>
      <tp t="s">
        <v>#N/A N/A</v>
        <stp/>
        <stp>BDP|13690149568087739665</stp>
        <tr r="D55" s="2"/>
      </tp>
      <tp t="s">
        <v>#N/A Requesting Data...3171277555</v>
        <stp/>
        <stp>BDP|16748513538991102451</stp>
        <tr r="F38" s="1"/>
        <tr r="D278" s="2"/>
      </tp>
      <tp t="s">
        <v>#N/A N/A</v>
        <stp/>
        <stp>BDP|10180785522993021317</stp>
        <tr r="L215" s="2"/>
      </tp>
      <tp t="s">
        <v>#N/A Requesting Data...3673142215</v>
        <stp/>
        <stp>BDP|14750559120230173698</stp>
        <tr r="G32" s="1"/>
        <tr r="E204" s="2"/>
      </tp>
      <tp t="s">
        <v>#N/A N/A</v>
        <stp/>
        <stp>BDP|14846360821466573600</stp>
        <tr r="D286" s="2"/>
      </tp>
      <tp t="s">
        <v>#N/A N/A</v>
        <stp/>
        <stp>BDP|17248724941212911326</stp>
        <tr r="H143" s="2"/>
      </tp>
      <tp t="s">
        <v>#N/A N/A</v>
        <stp/>
        <stp>BDP|17911481888527653954</stp>
        <tr r="I118" s="2"/>
      </tp>
      <tp t="s">
        <v>#N/A N/A</v>
        <stp/>
        <stp>BDP|10141904616648807552</stp>
        <tr r="K143" s="2"/>
      </tp>
      <tp t="s">
        <v>#N/A N/A</v>
        <stp/>
        <stp>BDP|11330784643204099356</stp>
        <tr r="D151" s="2"/>
      </tp>
      <tp t="s">
        <v>#N/A N/A</v>
        <stp/>
        <stp>BDP|16804400869902438380</stp>
        <tr r="F292" s="2"/>
      </tp>
      <tp t="s">
        <v>#N/A N/A</v>
        <stp/>
        <stp>BDP|10220169001807086381</stp>
        <tr r="M66" s="2"/>
      </tp>
      <tp t="s">
        <v>#N/A N/A</v>
        <stp/>
        <stp>BDP|16931513107622064429</stp>
        <tr r="D313" s="2"/>
      </tp>
      <tp t="s">
        <v>#N/A N/A</v>
        <stp/>
        <stp>BDP|16992457850062242032</stp>
        <tr r="C165" s="2"/>
      </tp>
      <tp t="s">
        <v>#N/A N/A</v>
        <stp/>
        <stp>BDP|14978369172851213429</stp>
        <tr r="F298" s="2"/>
      </tp>
      <tp t="s">
        <v>#N/A Requesting Data...4263892151</v>
        <stp/>
        <stp>BDP|17433168801294929778</stp>
        <tr r="L11" s="1"/>
        <tr r="J78" s="2"/>
      </tp>
      <tp t="s">
        <v>#N/A N/A</v>
        <stp/>
        <stp>BDP|17118506758206218465</stp>
        <tr r="F291" s="2"/>
      </tp>
      <tp t="s">
        <v>#N/A N/A</v>
        <stp/>
        <stp>BDP|13442186902775376202</stp>
        <tr r="M115" s="2"/>
      </tp>
      <tp t="s">
        <v>#N/A N/A</v>
        <stp/>
        <stp>BDP|17381378728224024710</stp>
        <tr r="D147" s="2"/>
      </tp>
      <tp t="s">
        <v>#N/A N/A</v>
        <stp/>
        <stp>BDP|12958509616325180633</stp>
        <tr r="C15" s="2"/>
      </tp>
      <tp t="s">
        <v>#N/A N/A</v>
        <stp/>
        <stp>BDP|14380534660302521097</stp>
        <tr r="J210" s="2"/>
      </tp>
      <tp t="s">
        <v>#N/A N/A</v>
        <stp/>
        <stp>BDP|13417518069933314638</stp>
        <tr r="D168" s="2"/>
      </tp>
      <tp t="s">
        <v>#N/A N/A</v>
        <stp/>
        <stp>BDP|15078589411147144344</stp>
        <tr r="C306" s="2"/>
      </tp>
      <tp t="s">
        <v>#N/A N/A</v>
        <stp/>
        <stp>BDP|16792151627419913902</stp>
        <tr r="F205" s="2"/>
      </tp>
      <tp t="s">
        <v>#N/A N/A</v>
        <stp/>
        <stp>BDP|18287993567122776072</stp>
        <tr r="C13" s="2"/>
      </tp>
      <tp t="s">
        <v>#N/A N/A</v>
        <stp/>
        <stp>BDP|10086256546494664792</stp>
        <tr r="N46" s="2"/>
      </tp>
      <tp t="s">
        <v>#N/A N/A</v>
        <stp/>
        <stp>BDP|11088928138796110878</stp>
        <tr r="K190" s="2"/>
      </tp>
      <tp t="s">
        <v>#N/A N/A</v>
        <stp/>
        <stp>BDP|12727527864213520788</stp>
        <tr r="M166" s="2"/>
      </tp>
      <tp t="s">
        <v>#N/A N/A</v>
        <stp/>
        <stp>BDP|10962761604240462235</stp>
        <tr r="H124" s="2"/>
      </tp>
      <tp t="s">
        <v>#N/A N/A</v>
        <stp/>
        <stp>BDP|15998231651900421737</stp>
        <tr r="G102" s="2"/>
      </tp>
      <tp t="s">
        <v>#N/A N/A</v>
        <stp/>
        <stp>BDP|12316642548056530359</stp>
        <tr r="K22" s="2"/>
      </tp>
      <tp t="s">
        <v>#N/A N/A</v>
        <stp/>
        <stp>BDP|16973664514196742238</stp>
        <tr r="M187" s="2"/>
      </tp>
      <tp t="s">
        <v>#N/A N/A</v>
        <stp/>
        <stp>BDP|10452820636739611790</stp>
        <tr r="F147" s="2"/>
      </tp>
      <tp t="s">
        <v>#N/A N/A</v>
        <stp/>
        <stp>BDP|17919201402115490508</stp>
        <tr r="G111" s="2"/>
      </tp>
      <tp t="s">
        <v>#N/A N/A</v>
        <stp/>
        <stp>BDP|14564054339812335059</stp>
        <tr r="N211" s="2"/>
      </tp>
      <tp t="s">
        <v>#N/A N/A</v>
        <stp/>
        <stp>BDP|16567520568852411248</stp>
        <tr r="K23" s="2"/>
      </tp>
      <tp t="s">
        <v>#N/A N/A</v>
        <stp/>
        <stp>BDP|11782505600213860212</stp>
        <tr r="E70" s="2"/>
      </tp>
      <tp t="s">
        <v>#N/A N/A</v>
        <stp/>
        <stp>BDP|18270369640722329893</stp>
        <tr r="K269" s="2"/>
      </tp>
      <tp t="s">
        <v>#N/A N/A</v>
        <stp/>
        <stp>BDP|15333983331748783230</stp>
        <tr r="G201" s="2"/>
      </tp>
      <tp t="s">
        <v>#N/A N/A</v>
        <stp/>
        <stp>BDP|15436519448271134024</stp>
        <tr r="E59" s="2"/>
      </tp>
      <tp t="s">
        <v>#N/A Requesting Data...2921064460</v>
        <stp/>
        <stp>BDP|17313196646862198538</stp>
        <tr r="K41" s="1"/>
        <tr r="I303" s="2"/>
      </tp>
      <tp t="s">
        <v>#N/A N/A</v>
        <stp/>
        <stp>BDP|15843120810910797039</stp>
        <tr r="D307" s="2"/>
      </tp>
      <tp t="s">
        <v>#N/A N/A</v>
        <stp/>
        <stp>BDP|16839629650672656225</stp>
        <tr r="E302" s="2"/>
      </tp>
      <tp t="s">
        <v>#N/A N/A</v>
        <stp/>
        <stp>BDP|16420267739590017252</stp>
        <tr r="L168" s="2"/>
      </tp>
      <tp t="s">
        <v>#N/A N/A</v>
        <stp/>
        <stp>BDP|16130887357289040703</stp>
        <tr r="K290" s="2"/>
      </tp>
      <tp t="s">
        <v>#N/A N/A</v>
        <stp/>
        <stp>BDP|11675780780392474945</stp>
        <tr r="I184" s="2"/>
      </tp>
      <tp t="s">
        <v>#N/A N/A</v>
        <stp/>
        <stp>BDP|17526128265763580690</stp>
        <tr r="D83" s="2"/>
      </tp>
      <tp t="s">
        <v>#N/A N/A</v>
        <stp/>
        <stp>BDP|14775027859247114337</stp>
        <tr r="L39" s="2"/>
      </tp>
      <tp t="s">
        <v>#N/A N/A</v>
        <stp/>
        <stp>BDP|14909466807953023696</stp>
        <tr r="K70" s="2"/>
      </tp>
      <tp t="s">
        <v>#N/A N/A</v>
        <stp/>
        <stp>BDP|16792656594904480834</stp>
        <tr r="H64" s="2"/>
      </tp>
      <tp t="s">
        <v>#N/A N/A</v>
        <stp/>
        <stp>BDP|18182787090344118795</stp>
        <tr r="F247" s="2"/>
      </tp>
      <tp t="s">
        <v>#N/A N/A</v>
        <stp/>
        <stp>BDP|11089758233891666113</stp>
        <tr r="M103" s="2"/>
      </tp>
      <tp t="s">
        <v>#N/A Requesting Data...2857514615</v>
        <stp/>
        <stp>BDP|13908461388359225347</stp>
        <tr r="G9" s="1"/>
        <tr r="E42" s="2"/>
      </tp>
      <tp t="s">
        <v>#N/A N/A</v>
        <stp/>
        <stp>BDP|16525306513806655703</stp>
        <tr r="I161" s="2"/>
      </tp>
      <tp t="s">
        <v>#N/A Requesting Data...1803484950</v>
        <stp/>
        <stp>BDP|10340759636278107917</stp>
        <tr r="E20" s="1"/>
        <tr r="C146" s="2"/>
      </tp>
      <tp t="s">
        <v>#N/A N/A</v>
        <stp/>
        <stp>BDP|16921594179606965709</stp>
        <tr r="L206" s="2"/>
      </tp>
      <tp t="s">
        <v>#N/A N/A</v>
        <stp/>
        <stp>BDP|15713109285498182137</stp>
        <tr r="M284" s="2"/>
      </tp>
      <tp t="s">
        <v>#N/A N/A</v>
        <stp/>
        <stp>BDP|15400214340850572608</stp>
        <tr r="F229" s="2"/>
      </tp>
      <tp t="s">
        <v>#N/A N/A</v>
        <stp/>
        <stp>BDP|10151753336518284909</stp>
        <tr r="N308" s="2"/>
      </tp>
      <tp t="s">
        <v>#N/A N/A</v>
        <stp/>
        <stp>BDP|10267253874487100727</stp>
        <tr r="D208" s="2"/>
      </tp>
      <tp t="s">
        <v>#N/A N/A</v>
        <stp/>
        <stp>BDP|11801550550101838556</stp>
        <tr r="K183" s="2"/>
      </tp>
      <tp t="s">
        <v>#N/A N/A</v>
        <stp/>
        <stp>BDP|11847863117798823529</stp>
        <tr r="C203" s="2"/>
      </tp>
      <tp t="s">
        <v>#N/A N/A</v>
        <stp/>
        <stp>BDP|11682280422115826172</stp>
        <tr r="D19" s="2"/>
      </tp>
      <tp t="s">
        <v>#N/A Requesting Data...1876096657</v>
        <stp/>
        <stp>BDP|16314465449982639197</stp>
        <tr r="I38" s="1"/>
        <tr r="G278" s="2"/>
      </tp>
      <tp t="s">
        <v>#N/A N/A</v>
        <stp/>
        <stp>BDP|14366140210223454208</stp>
        <tr r="C231" s="2"/>
      </tp>
      <tp t="s">
        <v>#N/A Requesting Data...3227216806</v>
        <stp/>
        <stp>BDP|16942209528001012223</stp>
        <tr r="J13" s="1"/>
        <tr r="H86" s="2"/>
      </tp>
      <tp t="s">
        <v>#N/A N/A</v>
        <stp/>
        <stp>BDP|11163058467244393634</stp>
        <tr r="L289" s="2"/>
      </tp>
      <tp t="s">
        <v>#N/A N/A</v>
        <stp/>
        <stp>BDP|10611171091518545561</stp>
        <tr r="F43" s="2"/>
      </tp>
      <tp t="s">
        <v>#N/A N/A</v>
        <stp/>
        <stp>BDP|16160007624173240240</stp>
        <tr r="J306" s="2"/>
      </tp>
      <tp t="s">
        <v>#N/A N/A</v>
        <stp/>
        <stp>BDP|14120940907281380932</stp>
        <tr r="F300" s="2"/>
      </tp>
      <tp t="s">
        <v>#N/A N/A</v>
        <stp/>
        <stp>BDP|11485692268314225051</stp>
        <tr r="G168" s="2"/>
      </tp>
      <tp t="s">
        <v>#N/A N/A</v>
        <stp/>
        <stp>BDP|14595269557180471628</stp>
        <tr r="G252" s="2"/>
      </tp>
      <tp t="s">
        <v>#N/A N/A</v>
        <stp/>
        <stp>BDP|13215353445285366435</stp>
        <tr r="H288" s="2"/>
      </tp>
      <tp t="s">
        <v>#N/A Requesting Data...1671178008</v>
        <stp/>
        <stp>BDP|17652840565038042453</stp>
        <tr r="N23" s="1"/>
        <tr r="L155" s="2"/>
      </tp>
      <tp t="s">
        <v>#N/A N/A</v>
        <stp/>
        <stp>BDP|12534654242960561559</stp>
        <tr r="G259" s="2"/>
      </tp>
      <tp t="s">
        <v>#N/A N/A</v>
        <stp/>
        <stp>BDP|13582674330236717578</stp>
        <tr r="F106" s="2"/>
      </tp>
      <tp t="s">
        <v>#N/A N/A</v>
        <stp/>
        <stp>BDP|17408172904704667737</stp>
        <tr r="E202" s="2"/>
      </tp>
      <tp t="s">
        <v>#N/A N/A</v>
        <stp/>
        <stp>BDP|10599296019887489146</stp>
        <tr r="H255" s="2"/>
      </tp>
      <tp t="s">
        <v>#N/A Requesting Data...3849176742</v>
        <stp/>
        <stp>BDP|11124320124980725550</stp>
        <tr r="F36" s="1"/>
        <tr r="D260" s="2"/>
      </tp>
      <tp t="s">
        <v>#N/A N/A</v>
        <stp/>
        <stp>BDP|11016238534230541577</stp>
        <tr r="I173" s="2"/>
      </tp>
      <tp t="s">
        <v>#N/A N/A</v>
        <stp/>
        <stp>BDP|14663903347584282867</stp>
        <tr r="J88" s="2"/>
      </tp>
      <tp t="s">
        <v>#N/A N/A</v>
        <stp/>
        <stp>BDP|13708076834815920082</stp>
        <tr r="N22" s="2"/>
      </tp>
      <tp t="s">
        <v>#N/A N/A</v>
        <stp/>
        <stp>BDP|17142877901873512977</stp>
        <tr r="H307" s="2"/>
      </tp>
      <tp t="s">
        <v>#N/A N/A</v>
        <stp/>
        <stp>BDP|11671223622946463276</stp>
        <tr r="I316" s="2"/>
      </tp>
      <tp t="s">
        <v>#N/A N/A</v>
        <stp/>
        <stp>BDP|16641288439144516670</stp>
        <tr r="D103" s="2"/>
      </tp>
      <tp t="s">
        <v>#N/A N/A</v>
        <stp/>
        <stp>BDP|13442231176387053446</stp>
        <tr r="H151" s="2"/>
      </tp>
      <tp t="s">
        <v>#N/A N/A</v>
        <stp/>
        <stp>BDP|17153654864135770722</stp>
        <tr r="H150" s="2"/>
      </tp>
      <tp t="s">
        <v>#N/A N/A</v>
        <stp/>
        <stp>BDP|17544202605992249262</stp>
        <tr r="F159" s="2"/>
      </tp>
      <tp t="s">
        <v>#N/A N/A</v>
        <stp/>
        <stp>BDP|12716011292289050709</stp>
        <tr r="E22" s="2"/>
      </tp>
      <tp t="s">
        <v>#N/A N/A</v>
        <stp/>
        <stp>BDP|18350100732557752829</stp>
        <tr r="G110" s="2"/>
      </tp>
      <tp t="s">
        <v>#N/A N/A</v>
        <stp/>
        <stp>BDP|13477061766459928993</stp>
        <tr r="C73" s="2"/>
      </tp>
      <tp t="s">
        <v>#N/A N/A</v>
        <stp/>
        <stp>BDP|17458047536709005827</stp>
        <tr r="I12" s="2"/>
      </tp>
      <tp t="s">
        <v>#N/A N/A</v>
        <stp/>
        <stp>BDP|16785143605942678043</stp>
        <tr r="N256" s="2"/>
      </tp>
      <tp t="s">
        <v>#N/A N/A</v>
        <stp/>
        <stp>BDP|12720405719067878524</stp>
        <tr r="D231" s="2"/>
      </tp>
      <tp t="s">
        <v>#N/A N/A</v>
        <stp/>
        <stp>BDP|15490298009620112212</stp>
        <tr r="C56" s="2"/>
      </tp>
      <tp t="s">
        <v>#N/A N/A</v>
        <stp/>
        <stp>BDP|12860575610895098689</stp>
        <tr r="D272" s="2"/>
      </tp>
      <tp t="s">
        <v>#N/A N/A</v>
        <stp/>
        <stp>BDP|17718063251572687515</stp>
        <tr r="N210" s="2"/>
      </tp>
      <tp t="s">
        <v>#N/A N/A</v>
        <stp/>
        <stp>BDP|17724238778441205694</stp>
        <tr r="G101" s="2"/>
      </tp>
      <tp t="s">
        <v>#N/A Requesting Data...3874959653</v>
        <stp/>
        <stp>BDP|12818067761420182193</stp>
        <tr r="H37" s="1"/>
        <tr r="F276" s="2"/>
      </tp>
      <tp t="s">
        <v>#N/A N/A</v>
        <stp/>
        <stp>BDP|17697429462536759669</stp>
        <tr r="G83" s="2"/>
      </tp>
      <tp t="s">
        <v>#N/A Requesting Data...3126277775</v>
        <stp/>
        <stp>BDP|16351331012101481012</stp>
        <tr r="M41" s="1"/>
        <tr r="K303" s="2"/>
      </tp>
      <tp t="s">
        <v>#N/A N/A</v>
        <stp/>
        <stp>BDP|10636305842456220413</stp>
        <tr r="E87" s="2"/>
      </tp>
      <tp t="s">
        <v>#N/A N/A</v>
        <stp/>
        <stp>BDP|16428167995353458846</stp>
        <tr r="D201" s="2"/>
      </tp>
      <tp t="s">
        <v>#N/A N/A</v>
        <stp/>
        <stp>BDP|12999543923556934609</stp>
        <tr r="L134" s="2"/>
      </tp>
      <tp t="s">
        <v>#N/A N/A</v>
        <stp/>
        <stp>BDP|12045292229336415130</stp>
        <tr r="D309" s="2"/>
      </tp>
      <tp t="s">
        <v>#N/A N/A</v>
        <stp/>
        <stp>BDP|10554368602447235152</stp>
        <tr r="H252" s="2"/>
      </tp>
      <tp t="s">
        <v>#N/A N/A</v>
        <stp/>
        <stp>BDP|13670223711991063435</stp>
        <tr r="F30" s="2"/>
      </tp>
      <tp t="s">
        <v>#N/A N/A</v>
        <stp/>
        <stp>BDP|12130636492710345858</stp>
        <tr r="F174" s="2"/>
      </tp>
      <tp t="s">
        <v>#N/A N/A</v>
        <stp/>
        <stp>BDP|18437247120188248543</stp>
        <tr r="F290" s="2"/>
      </tp>
      <tp t="s">
        <v>#N/A N/A</v>
        <stp/>
        <stp>BDP|13159440259016819126</stp>
        <tr r="N94" s="2"/>
      </tp>
      <tp t="s">
        <v>#N/A N/A</v>
        <stp/>
        <stp>BDP|17256627461766517425</stp>
        <tr r="J265" s="2"/>
      </tp>
      <tp t="s">
        <v>#N/A N/A</v>
        <stp/>
        <stp>BDP|14712446949221472082</stp>
        <tr r="E173" s="2"/>
      </tp>
      <tp t="s">
        <v>#N/A N/A</v>
        <stp/>
        <stp>BDP|16840373742436977223</stp>
        <tr r="D18" s="2"/>
      </tp>
      <tp t="s">
        <v>#N/A N/A</v>
        <stp/>
        <stp>BDP|12919275869180403351</stp>
        <tr r="L238" s="2"/>
      </tp>
      <tp t="s">
        <v>#N/A N/A</v>
        <stp/>
        <stp>BDP|10640455163386669100</stp>
        <tr r="E241" s="2"/>
      </tp>
    </main>
    <main first="bofaddin.rtdserver">
      <tp t="s">
        <v>#N/A N/A</v>
        <stp/>
        <stp>BDP|1154057209570754</stp>
        <tr r="F122" s="2"/>
      </tp>
      <tp t="s">
        <v>#N/A N/A</v>
        <stp/>
        <stp>BDP|3181352005988850</stp>
        <tr r="E177" s="2"/>
      </tp>
      <tp t="s">
        <v>#N/A N/A</v>
        <stp/>
        <stp>BDP|4584085471768216</stp>
        <tr r="I231" s="2"/>
      </tp>
      <tp t="s">
        <v>#N/A N/A</v>
        <stp/>
        <stp>BDP|7740844589198984391</stp>
        <tr r="C122" s="2"/>
      </tp>
      <tp t="s">
        <v>#N/A N/A</v>
        <stp/>
        <stp>BDP|2259240428318537618</stp>
        <tr r="F308" s="2"/>
      </tp>
      <tp t="s">
        <v>#N/A N/A</v>
        <stp/>
        <stp>BDP|7355783791451964498</stp>
        <tr r="H56" s="2"/>
      </tp>
      <tp t="s">
        <v>#N/A N/A</v>
        <stp/>
        <stp>BDP|2530553480844814727</stp>
        <tr r="D124" s="2"/>
      </tp>
      <tp t="s">
        <v>#N/A N/A</v>
        <stp/>
        <stp>BDP|5143858714936271682</stp>
        <tr r="E219" s="2"/>
      </tp>
      <tp t="s">
        <v>#N/A N/A</v>
        <stp/>
        <stp>BDP|9505847589600723551</stp>
        <tr r="D237" s="2"/>
      </tp>
      <tp t="s">
        <v>#N/A N/A</v>
        <stp/>
        <stp>BDP|9955993128489237704</stp>
        <tr r="C170" s="2"/>
      </tp>
      <tp t="s">
        <v>#N/A N/A</v>
        <stp/>
        <stp>BDP|6847618680160344410</stp>
        <tr r="C212" s="2"/>
      </tp>
      <tp t="s">
        <v>#N/A N/A</v>
        <stp/>
        <stp>BDP|6586852618720625350</stp>
        <tr r="G151" s="2"/>
      </tp>
      <tp t="s">
        <v>#N/A Requesting Data...3117977491</v>
        <stp/>
        <stp>BDP|4846964842767159262</stp>
        <tr r="E21" s="1"/>
        <tr r="C148" s="2"/>
      </tp>
      <tp t="s">
        <v>#N/A N/A</v>
        <stp/>
        <stp>BDP|2785999817697177135</stp>
        <tr r="D117" s="2"/>
      </tp>
      <tp t="s">
        <v>#N/A N/A</v>
        <stp/>
        <stp>BDP|2352014057902989975</stp>
        <tr r="M266" s="2"/>
      </tp>
      <tp t="s">
        <v>#N/A N/A</v>
        <stp/>
        <stp>BDP|4578774857753840964</stp>
        <tr r="C81" s="2"/>
      </tp>
      <tp t="s">
        <v>#N/A N/A</v>
        <stp/>
        <stp>BDP|5538068542389971439</stp>
        <tr r="N310" s="2"/>
      </tp>
      <tp t="s">
        <v>#N/A N/A</v>
        <stp/>
        <stp>BDP|3006872183698926760</stp>
        <tr r="J130" s="2"/>
      </tp>
      <tp t="s">
        <v>#N/A Requesting Data...3048006881</v>
        <stp/>
        <stp>BDP|2489398199703952764</stp>
        <tr r="L3" s="1"/>
        <tr r="J20" s="2"/>
      </tp>
      <tp t="s">
        <v>#N/A N/A</v>
        <stp/>
        <stp>BDP|7748577188402198414</stp>
        <tr r="H169" s="2"/>
      </tp>
      <tp t="s">
        <v>#N/A N/A</v>
        <stp/>
        <stp>BDP|7507948661737995318</stp>
        <tr r="J315" s="2"/>
      </tp>
      <tp t="s">
        <v>#N/A N/A</v>
        <stp/>
        <stp>BDP|9882452748626848356</stp>
        <tr r="J19" s="2"/>
      </tp>
      <tp t="s">
        <v>#N/A N/A</v>
        <stp/>
        <stp>BDP|6858601835829344669</stp>
        <tr r="L44" s="2"/>
      </tp>
      <tp t="s">
        <v>#N/A N/A</v>
        <stp/>
        <stp>BDP|6586813849610397664</stp>
        <tr r="J49" s="2"/>
      </tp>
      <tp t="s">
        <v>#N/A N/A</v>
        <stp/>
        <stp>BDP|7859811709247028486</stp>
        <tr r="L163" s="2"/>
      </tp>
      <tp t="s">
        <v>#N/A N/A</v>
        <stp/>
        <stp>BDP|9755103057798963910</stp>
        <tr r="F254" s="2"/>
      </tp>
      <tp t="s">
        <v>#N/A N/A</v>
        <stp/>
        <stp>BDP|8747689867662935685</stp>
        <tr r="H62" s="2"/>
      </tp>
      <tp t="s">
        <v>#N/A N/A</v>
        <stp/>
        <stp>BDP|5027461275952853821</stp>
        <tr r="L7" s="2"/>
      </tp>
      <tp t="s">
        <v>#N/A N/A</v>
        <stp/>
        <stp>BDP|5637937687078333087</stp>
        <tr r="N300" s="2"/>
      </tp>
      <tp t="s">
        <v>#N/A N/A</v>
        <stp/>
        <stp>BDP|2262764675646079880</stp>
        <tr r="M44" s="2"/>
      </tp>
      <tp t="s">
        <v>#N/A Requesting Data...3526349888</v>
        <stp/>
        <stp>BDP|3547184720374459803</stp>
        <tr r="L34" s="1"/>
        <tr r="J233" s="2"/>
      </tp>
      <tp t="s">
        <v>#N/A N/A</v>
        <stp/>
        <stp>BDP|2832225354440437948</stp>
        <tr r="M299" s="2"/>
      </tp>
      <tp t="s">
        <v>#N/A N/A</v>
        <stp/>
        <stp>BDP|3112823246555878638</stp>
        <tr r="C173" s="2"/>
      </tp>
      <tp t="s">
        <v>#N/A N/A</v>
        <stp/>
        <stp>BDP|9570766678955117045</stp>
        <tr r="C43" s="2"/>
      </tp>
      <tp t="s">
        <v>#N/A N/A</v>
        <stp/>
        <stp>BDP|9472677965737178293</stp>
        <tr r="I83" s="2"/>
      </tp>
      <tp t="s">
        <v>#N/A N/A</v>
        <stp/>
        <stp>BDP|5905959069821258797</stp>
        <tr r="G227" s="2"/>
      </tp>
      <tp t="s">
        <v>#N/A Requesting Data...2507470383</v>
        <stp/>
        <stp>BDP|2051752097075987546</stp>
        <tr r="J21" s="1"/>
        <tr r="H148" s="2"/>
      </tp>
      <tp t="s">
        <v>#N/A N/A</v>
        <stp/>
        <stp>BDP|2200868648122218016</stp>
        <tr r="M236" s="2"/>
      </tp>
      <tp t="s">
        <v>#N/A N/A</v>
        <stp/>
        <stp>BDP|1391397564489721166</stp>
        <tr r="D182" s="2"/>
      </tp>
      <tp t="s">
        <v>#N/A N/A</v>
        <stp/>
        <stp>BDP|6852103603159566214</stp>
        <tr r="M272" s="2"/>
      </tp>
      <tp t="s">
        <v>#N/A N/A</v>
        <stp/>
        <stp>BDP|5740443429339333663</stp>
        <tr r="C232" s="2"/>
      </tp>
      <tp t="s">
        <v>#N/A N/A</v>
        <stp/>
        <stp>BDP|1077231894846879032</stp>
        <tr r="F77" s="2"/>
      </tp>
      <tp t="s">
        <v>#N/A N/A</v>
        <stp/>
        <stp>BDP|4989968522590698376</stp>
        <tr r="H315" s="2"/>
      </tp>
      <tp t="s">
        <v>#N/A Requesting Data...2213575496</v>
        <stp/>
        <stp>BDP|9696233178259427956</stp>
        <tr r="L33" s="1"/>
        <tr r="J223" s="2"/>
      </tp>
      <tp t="s">
        <v>#N/A N/A</v>
        <stp/>
        <stp>BDP|9745743978770176564</stp>
        <tr r="E108" s="2"/>
      </tp>
      <tp t="s">
        <v>#N/A N/A</v>
        <stp/>
        <stp>BDP|8179956514158917452</stp>
        <tr r="E279" s="2"/>
      </tp>
      <tp t="s">
        <v>#N/A N/A</v>
        <stp/>
        <stp>BDP|9390120962484686690</stp>
        <tr r="E269" s="2"/>
      </tp>
      <tp t="s">
        <v>#N/A N/A</v>
        <stp/>
        <stp>BDP|3495813239623590748</stp>
        <tr r="J99" s="2"/>
      </tp>
      <tp t="s">
        <v>#N/A N/A</v>
        <stp/>
        <stp>BDP|1827985459860037141</stp>
        <tr r="D104" s="2"/>
      </tp>
      <tp t="s">
        <v>#N/A N/A</v>
        <stp/>
        <stp>BDP|2136857771576062788</stp>
        <tr r="L90" s="2"/>
      </tp>
      <tp t="s">
        <v>#N/A N/A</v>
        <stp/>
        <stp>BDP|7536286576248009666</stp>
        <tr r="G184" s="2"/>
      </tp>
      <tp t="s">
        <v>#N/A N/A</v>
        <stp/>
        <stp>BDP|1412123346798438096</stp>
        <tr r="I270" s="2"/>
      </tp>
      <tp t="s">
        <v>#N/A N/A</v>
        <stp/>
        <stp>BDP|2759051997080801704</stp>
        <tr r="J230" s="2"/>
      </tp>
      <tp t="s">
        <v>#N/A N/A</v>
        <stp/>
        <stp>BDP|2858158683232248518</stp>
        <tr r="L99" s="2"/>
      </tp>
      <tp t="s">
        <v>#N/A N/A</v>
        <stp/>
        <stp>BDP|8878327864644300502</stp>
        <tr r="F163" s="2"/>
      </tp>
      <tp t="s">
        <v>#N/A N/A</v>
        <stp/>
        <stp>BDP|8997379271895870554</stp>
        <tr r="E179" s="2"/>
      </tp>
      <tp t="s">
        <v>#N/A N/A</v>
        <stp/>
        <stp>BDP|7722873156451250761</stp>
        <tr r="E143" s="2"/>
      </tp>
      <tp t="s">
        <v>#N/A N/A</v>
        <stp/>
        <stp>BDP|9001215097269137757</stp>
        <tr r="G112" s="2"/>
      </tp>
      <tp t="s">
        <v>#N/A N/A</v>
        <stp/>
        <stp>BDP|8816557534037277594</stp>
        <tr r="G247" s="2"/>
      </tp>
      <tp t="s">
        <v>#N/A N/A</v>
        <stp/>
        <stp>BDP|8967504903374140593</stp>
        <tr r="F259" s="2"/>
      </tp>
      <tp t="s">
        <v>#N/A N/A</v>
        <stp/>
        <stp>BDP|2003449009373909973</stp>
        <tr r="H25" s="2"/>
      </tp>
      <tp t="s">
        <v>#N/A N/A</v>
        <stp/>
        <stp>BDP|9701558763333275500</stp>
        <tr r="E32" s="2"/>
      </tp>
      <tp t="s">
        <v>#N/A N/A</v>
        <stp/>
        <stp>BDP|8248661776044587141</stp>
        <tr r="H224" s="2"/>
      </tp>
      <tp t="s">
        <v>#N/A N/A</v>
        <stp/>
        <stp>BDP|2366498449568826686</stp>
        <tr r="D295" s="2"/>
      </tp>
      <tp t="s">
        <v>#N/A N/A</v>
        <stp/>
        <stp>BDP|8800516460952980536</stp>
        <tr r="C217" s="2"/>
      </tp>
      <tp t="s">
        <v>#N/A N/A</v>
        <stp/>
        <stp>BDP|7121372166799507767</stp>
        <tr r="I62" s="2"/>
      </tp>
      <tp t="s">
        <v>#N/A N/A</v>
        <stp/>
        <stp>BDP|7358881818726515451</stp>
        <tr r="N100" s="2"/>
      </tp>
      <tp t="s">
        <v>#N/A N/A</v>
        <stp/>
        <stp>BDP|8397935333168992697</stp>
        <tr r="H22" s="2"/>
      </tp>
      <tp t="s">
        <v>#N/A N/A</v>
        <stp/>
        <stp>BDP|9539716930351405032</stp>
        <tr r="E27" s="2"/>
      </tp>
      <tp t="s">
        <v>#N/A N/A</v>
        <stp/>
        <stp>BDP|8743182052492995244</stp>
        <tr r="H250" s="2"/>
      </tp>
      <tp t="s">
        <v>#N/A N/A</v>
        <stp/>
        <stp>BDP|9919895986732551738</stp>
        <tr r="L230" s="2"/>
      </tp>
      <tp t="s">
        <v>#N/A N/A</v>
        <stp/>
        <stp>BDP|1015779383151119356</stp>
        <tr r="J133" s="2"/>
      </tp>
      <tp t="s">
        <v>#N/A N/A</v>
        <stp/>
        <stp>BDP|5984224871024204882</stp>
        <tr r="K238" s="2"/>
      </tp>
      <tp t="s">
        <v>#N/A N/A</v>
        <stp/>
        <stp>BDP|4827281225259034151</stp>
        <tr r="L304" s="2"/>
      </tp>
      <tp t="s">
        <v>#N/A N/A</v>
        <stp/>
        <stp>BDP|6917807791453974816</stp>
        <tr r="D259" s="2"/>
      </tp>
      <tp t="s">
        <v>#N/A N/A</v>
        <stp/>
        <stp>BDP|4565693254658967310</stp>
        <tr r="M64" s="2"/>
      </tp>
      <tp t="s">
        <v>#N/A N/A</v>
        <stp/>
        <stp>BDP|3962213499363806793</stp>
        <tr r="I49" s="2"/>
      </tp>
      <tp t="s">
        <v>#N/A N/A</v>
        <stp/>
        <stp>BDP|7675751193971625468</stp>
        <tr r="I133" s="2"/>
      </tp>
      <tp t="s">
        <v>#N/A N/A</v>
        <stp/>
        <stp>BDP|9511869333137084907</stp>
        <tr r="I102" s="2"/>
      </tp>
      <tp t="s">
        <v>#N/A N/A</v>
        <stp/>
        <stp>BDP|5646813576136370039</stp>
        <tr r="G244" s="2"/>
      </tp>
      <tp t="s">
        <v>#N/A Requesting Data...3544400486</v>
        <stp/>
        <stp>BDP|5692208637728142018</stp>
        <tr r="M18" s="1"/>
        <tr r="K131" s="2"/>
      </tp>
      <tp t="s">
        <v>#N/A N/A</v>
        <stp/>
        <stp>BDP|6065122916473248979</stp>
        <tr r="I289" s="2"/>
      </tp>
      <tp t="s">
        <v>#N/A N/A</v>
        <stp/>
        <stp>BDP|5347486218334276807</stp>
        <tr r="N48" s="2"/>
      </tp>
      <tp t="s">
        <v>#N/A N/A</v>
        <stp/>
        <stp>BDP|5363365861354641832</stp>
        <tr r="K145" s="2"/>
      </tp>
      <tp t="s">
        <v>#N/A N/A</v>
        <stp/>
        <stp>BDP|9999709223094481482</stp>
        <tr r="M175" s="2"/>
      </tp>
      <tp t="s">
        <v>#N/A N/A</v>
        <stp/>
        <stp>BDP|9130247011951007720</stp>
        <tr r="L16" s="2"/>
      </tp>
      <tp t="s">
        <v>#N/A Requesting Data...2554676406</v>
        <stp/>
        <stp>BDP|8885345160652231387</stp>
        <tr r="P15" s="1"/>
        <tr r="N93" s="2"/>
      </tp>
      <tp t="s">
        <v>#N/A N/A</v>
        <stp/>
        <stp>BDP|8548340931377422324</stp>
        <tr r="K58" s="2"/>
      </tp>
      <tp t="s">
        <v>#N/A N/A</v>
        <stp/>
        <stp>BDP|9033615262492564705</stp>
        <tr r="N3" s="2"/>
      </tp>
      <tp t="s">
        <v>#N/A Requesting Data...4092545006</v>
        <stp/>
        <stp>BDP|7400834331473505352</stp>
        <tr r="P33" s="1"/>
        <tr r="N223" s="2"/>
      </tp>
      <tp t="s">
        <v>#N/A Requesting Data...4264451214</v>
        <stp/>
        <stp>BDP|1371888778430287271</stp>
        <tr r="L38" s="1"/>
        <tr r="J278" s="2"/>
      </tp>
      <tp t="s">
        <v>#N/A N/A</v>
        <stp/>
        <stp>BDP|1327426297121763177</stp>
        <tr r="L182" s="2"/>
      </tp>
      <tp t="s">
        <v>#N/A N/A</v>
        <stp/>
        <stp>BDP|7819291297219161910</stp>
        <tr r="I82" s="2"/>
      </tp>
      <tp t="s">
        <v>#N/A N/A</v>
        <stp/>
        <stp>BDP|7986004092277454582</stp>
        <tr r="E274" s="2"/>
      </tp>
      <tp t="s">
        <v>#N/A N/A</v>
        <stp/>
        <stp>BDP|5115972923910433260</stp>
        <tr r="C293" s="2"/>
      </tp>
      <tp t="s">
        <v>#N/A N/A</v>
        <stp/>
        <stp>BDP|5387277066128739525</stp>
        <tr r="M153" s="2"/>
      </tp>
      <tp t="s">
        <v>#N/A N/A</v>
        <stp/>
        <stp>BDP|5121207872555388973</stp>
        <tr r="L311" s="2"/>
      </tp>
      <tp t="s">
        <v>#N/A N/A</v>
        <stp/>
        <stp>BDP|4708575264059597267</stp>
        <tr r="I217" s="2"/>
      </tp>
      <tp t="s">
        <v>#N/A Requesting Data...2546106453</v>
        <stp/>
        <stp>BDP|7480464491937070148</stp>
        <tr r="E22" s="1"/>
        <tr r="C152" s="2"/>
      </tp>
      <tp t="s">
        <v>#N/A N/A</v>
        <stp/>
        <stp>BDP|3786231562583554843</stp>
        <tr r="N135" s="2"/>
      </tp>
      <tp t="s">
        <v>#N/A N/A</v>
        <stp/>
        <stp>BDP|7349846634643027343</stp>
        <tr r="N315" s="2"/>
      </tp>
      <tp t="s">
        <v>#N/A N/A</v>
        <stp/>
        <stp>BDP|6710221397027268673</stp>
        <tr r="J48" s="2"/>
      </tp>
      <tp t="s">
        <v>#N/A N/A</v>
        <stp/>
        <stp>BDP|9166326547433057135</stp>
        <tr r="M51" s="2"/>
      </tp>
      <tp t="s">
        <v>#N/A N/A</v>
        <stp/>
        <stp>BDP|8591129911506126203</stp>
        <tr r="G66" s="2"/>
      </tp>
      <tp t="s">
        <v>#N/A N/A</v>
        <stp/>
        <stp>BDP|4641509027737466817</stp>
        <tr r="K11" s="2"/>
      </tp>
      <tp t="s">
        <v>#N/A N/A</v>
        <stp/>
        <stp>BDP|7221154393057496444</stp>
        <tr r="F246" s="2"/>
      </tp>
      <tp t="s">
        <v>#N/A N/A</v>
        <stp/>
        <stp>BDP|7498819750316392026</stp>
        <tr r="L171" s="2"/>
      </tp>
      <tp t="s">
        <v>#N/A Requesting Data...1855643507</v>
        <stp/>
        <stp>BDP|9936856274068492283</stp>
        <tr r="K4" s="1"/>
        <tr r="I21" s="2"/>
      </tp>
      <tp t="s">
        <v>#N/A N/A</v>
        <stp/>
        <stp>BDP|8410731161681504479</stp>
        <tr r="E52" s="2"/>
      </tp>
      <tp t="s">
        <v>#N/A N/A</v>
        <stp/>
        <stp>BDP|5970682383426059165</stp>
        <tr r="N195" s="2"/>
      </tp>
      <tp t="s">
        <v>#N/A N/A</v>
        <stp/>
        <stp>BDP|1501563510779267052</stp>
        <tr r="G263" s="2"/>
      </tp>
      <tp t="s">
        <v>#N/A N/A</v>
        <stp/>
        <stp>BDP|5111845286278238156</stp>
        <tr r="J28" s="2"/>
      </tp>
      <tp t="s">
        <v>#N/A N/A</v>
        <stp/>
        <stp>BDP|7227815925031226006</stp>
        <tr r="L81" s="2"/>
      </tp>
      <tp t="s">
        <v>#N/A N/A</v>
        <stp/>
        <stp>BDP|9545126823117206127</stp>
        <tr r="C241" s="2"/>
      </tp>
      <tp t="s">
        <v>#N/A N/A</v>
        <stp/>
        <stp>BDP|5162800650977436306</stp>
        <tr r="I291" s="2"/>
      </tp>
      <tp t="s">
        <v>#N/A N/A</v>
        <stp/>
        <stp>BDP|5032519412674722914</stp>
        <tr r="K43" s="2"/>
      </tp>
      <tp t="s">
        <v>#N/A N/A</v>
        <stp/>
        <stp>BDP|8720459012873498215</stp>
        <tr r="L48" s="2"/>
      </tp>
      <tp t="s">
        <v>#N/A N/A</v>
        <stp/>
        <stp>BDP|4179283142039998684</stp>
        <tr r="H104" s="2"/>
      </tp>
      <tp t="s">
        <v>#N/A N/A</v>
        <stp/>
        <stp>BDP|8931325683347010928</stp>
        <tr r="G133" s="2"/>
      </tp>
      <tp t="s">
        <v>#N/A N/A</v>
        <stp/>
        <stp>BDP|1533149194617962364</stp>
        <tr r="F258" s="2"/>
      </tp>
      <tp t="s">
        <v>#N/A N/A</v>
        <stp/>
        <stp>BDP|1537630145586135885</stp>
        <tr r="C296" s="2"/>
      </tp>
      <tp t="s">
        <v>#N/A N/A</v>
        <stp/>
        <stp>BDP|9893140136116732079</stp>
        <tr r="E209" s="2"/>
      </tp>
      <tp t="s">
        <v>#N/A N/A</v>
        <stp/>
        <stp>BDP|7962711783571271433</stp>
        <tr r="F257" s="2"/>
      </tp>
      <tp t="s">
        <v>#N/A N/A</v>
        <stp/>
        <stp>BDP|9098188010664177029</stp>
        <tr r="L251" s="2"/>
      </tp>
      <tp t="s">
        <v>#N/A N/A</v>
        <stp/>
        <stp>BDP|9833920184697450219</stp>
        <tr r="L113" s="2"/>
      </tp>
      <tp t="s">
        <v>#N/A N/A</v>
        <stp/>
        <stp>BDP|4610711296517255088</stp>
        <tr r="G71" s="2"/>
      </tp>
      <tp t="s">
        <v>#N/A N/A</v>
        <stp/>
        <stp>BDP|7816545081944265343</stp>
        <tr r="M110" s="2"/>
      </tp>
      <tp t="s">
        <v>#N/A N/A</v>
        <stp/>
        <stp>BDP|2909124263831529960</stp>
        <tr r="K122" s="2"/>
      </tp>
      <tp t="s">
        <v>#N/A N/A</v>
        <stp/>
        <stp>BDP|8390205528856538354</stp>
        <tr r="G4" s="2"/>
      </tp>
      <tp t="s">
        <v>#N/A N/A</v>
        <stp/>
        <stp>BDP|8052465723286756592</stp>
        <tr r="F68" s="2"/>
      </tp>
      <tp t="s">
        <v>#N/A N/A</v>
        <stp/>
        <stp>BDP|9624013785734925803</stp>
        <tr r="F107" s="2"/>
      </tp>
      <tp t="s">
        <v>#N/A N/A</v>
        <stp/>
        <stp>BDP|5617146251754060880</stp>
        <tr r="M11" s="2"/>
      </tp>
      <tp t="s">
        <v>#N/A N/A</v>
        <stp/>
        <stp>BDP|2486995485806329801</stp>
        <tr r="F244" s="2"/>
      </tp>
      <tp t="s">
        <v>#N/A N/A</v>
        <stp/>
        <stp>BDP|5879978612281503107</stp>
        <tr r="K71" s="2"/>
      </tp>
      <tp t="s">
        <v>#N/A N/A</v>
        <stp/>
        <stp>BDP|6976224625603152871</stp>
        <tr r="F185" s="2"/>
      </tp>
      <tp t="s">
        <v>#N/A Requesting Data...2689293126</v>
        <stp/>
        <stp>BDP|1782907992379596585</stp>
        <tr r="E14" s="1"/>
        <tr r="C91" s="2"/>
      </tp>
      <tp t="s">
        <v>#N/A N/A</v>
        <stp/>
        <stp>BDP|9030346125525823015</stp>
        <tr r="F168" s="2"/>
      </tp>
      <tp t="s">
        <v>#N/A N/A</v>
        <stp/>
        <stp>BDP|8041232039904273013</stp>
        <tr r="N139" s="2"/>
      </tp>
      <tp t="s">
        <v>#N/A N/A</v>
        <stp/>
        <stp>BDP|8593599643475291141</stp>
        <tr r="M167" s="2"/>
      </tp>
      <tp t="s">
        <v>#N/A N/A</v>
        <stp/>
        <stp>BDP|8493759047075895378</stp>
        <tr r="I153" s="2"/>
      </tp>
      <tp t="s">
        <v>#N/A N/A</v>
        <stp/>
        <stp>BDP|5300897071437207003</stp>
        <tr r="M48" s="2"/>
      </tp>
      <tp t="s">
        <v>#N/A N/A</v>
        <stp/>
        <stp>BDP|6546815168895598000</stp>
        <tr r="G174" s="2"/>
      </tp>
      <tp t="s">
        <v>#N/A N/A</v>
        <stp/>
        <stp>BDP|4356877487501860858</stp>
        <tr r="J96" s="2"/>
      </tp>
      <tp t="s">
        <v>#N/A N/A</v>
        <stp/>
        <stp>BDP|5414897961575087324</stp>
        <tr r="C147" s="2"/>
      </tp>
      <tp t="s">
        <v>#N/A N/A</v>
        <stp/>
        <stp>BDP|5199947354147784387</stp>
        <tr r="K129" s="2"/>
      </tp>
      <tp t="s">
        <v>#N/A N/A</v>
        <stp/>
        <stp>BDP|3036012011149814663</stp>
        <tr r="E308" s="2"/>
      </tp>
      <tp t="s">
        <v>#N/A N/A</v>
        <stp/>
        <stp>BDP|4242947658032706777</stp>
        <tr r="F218" s="2"/>
      </tp>
      <tp t="s">
        <v>#N/A N/A</v>
        <stp/>
        <stp>BDP|1360293682106734011</stp>
        <tr r="J143" s="2"/>
      </tp>
      <tp t="s">
        <v>#N/A N/A</v>
        <stp/>
        <stp>BDP|2919812205500395709</stp>
        <tr r="H309" s="2"/>
      </tp>
      <tp t="s">
        <v>#N/A Requesting Data...3027587281</v>
        <stp/>
        <stp>BDP|6547934068274384023</stp>
        <tr r="P23" s="1"/>
        <tr r="N155" s="2"/>
      </tp>
      <tp t="s">
        <v>#N/A Requesting Data...3622718392</v>
        <stp/>
        <stp>BDP|7685380924862594900</stp>
        <tr r="I35" s="1"/>
        <tr r="G243" s="2"/>
      </tp>
      <tp t="s">
        <v>#N/A N/A</v>
        <stp/>
        <stp>BDP|7459328414508596088</stp>
        <tr r="K128" s="2"/>
      </tp>
      <tp t="s">
        <v>#N/A N/A</v>
        <stp/>
        <stp>BDP|6988667061752915985</stp>
        <tr r="C34" s="2"/>
      </tp>
      <tp t="s">
        <v>#N/A N/A</v>
        <stp/>
        <stp>BDP|9388114418343657735</stp>
        <tr r="N35" s="2"/>
      </tp>
      <tp t="s">
        <v>#N/A N/A</v>
        <stp/>
        <stp>BDP|8171708179101333448</stp>
        <tr r="G145" s="2"/>
      </tp>
      <tp t="s">
        <v>#N/A N/A</v>
        <stp/>
        <stp>BDP|6679390380202836283</stp>
        <tr r="F63" s="2"/>
      </tp>
      <tp t="s">
        <v>#N/A N/A</v>
        <stp/>
        <stp>BDP|8707437679223460564</stp>
        <tr r="D317" s="2"/>
      </tp>
      <tp t="s">
        <v>#N/A N/A</v>
        <stp/>
        <stp>BDP|3782788693570312002</stp>
        <tr r="E151" s="2"/>
      </tp>
      <tp t="s">
        <v>#N/A N/A</v>
        <stp/>
        <stp>BDP|7623431560910995835</stp>
        <tr r="M134" s="2"/>
      </tp>
      <tp t="s">
        <v>#N/A N/A</v>
        <stp/>
        <stp>BDP|7982320991941783112</stp>
        <tr r="I221" s="2"/>
      </tp>
      <tp t="s">
        <v>#N/A N/A</v>
        <stp/>
        <stp>BDP|9385104056539861915</stp>
        <tr r="D45" s="2"/>
      </tp>
      <tp t="s">
        <v>#N/A N/A</v>
        <stp/>
        <stp>BDP|8591214315705910345</stp>
        <tr r="N235" s="2"/>
      </tp>
      <tp t="s">
        <v>#N/A N/A</v>
        <stp/>
        <stp>BDP|4174959173523229497</stp>
        <tr r="J288" s="2"/>
      </tp>
      <tp t="s">
        <v>#N/A N/A</v>
        <stp/>
        <stp>BDP|4576323828641054934</stp>
        <tr r="I234" s="2"/>
      </tp>
      <tp t="s">
        <v>#N/A N/A</v>
        <stp/>
        <stp>BDP|9018496847217036324</stp>
        <tr r="C139" s="2"/>
      </tp>
      <tp t="s">
        <v>#N/A N/A</v>
        <stp/>
        <stp>BDP|4914848854724114057</stp>
        <tr r="H231" s="2"/>
      </tp>
      <tp t="s">
        <v>#N/A N/A</v>
        <stp/>
        <stp>BDP|7578502479298452052</stp>
        <tr r="G81" s="2"/>
      </tp>
      <tp t="s">
        <v>#N/A N/A</v>
        <stp/>
        <stp>BDP|1852573494688021862</stp>
        <tr r="F239" s="2"/>
      </tp>
      <tp t="s">
        <v>#N/A Requesting Data...2591909034</v>
        <stp/>
        <stp>BDP|8567530123052006081</stp>
        <tr r="F34" s="1"/>
        <tr r="D233" s="2"/>
      </tp>
      <tp t="s">
        <v>#N/A Requesting Data...2618423926</v>
        <stp/>
        <stp>BDP|7929810297493247804</stp>
        <tr r="N40" s="1"/>
        <tr r="L297" s="2"/>
      </tp>
      <tp t="s">
        <v>#N/A N/A</v>
        <stp/>
        <stp>BDP|1270835628130536616</stp>
        <tr r="M302" s="2"/>
      </tp>
      <tp t="s">
        <v>#N/A N/A</v>
        <stp/>
        <stp>BDP|7075115581947630443</stp>
        <tr r="E127" s="2"/>
      </tp>
      <tp t="s">
        <v>#N/A N/A</v>
        <stp/>
        <stp>BDP|1429678657948610709</stp>
        <tr r="M63" s="2"/>
      </tp>
      <tp t="s">
        <v>#N/A N/A</v>
        <stp/>
        <stp>BDP|5099889518299690841</stp>
        <tr r="N24" s="2"/>
      </tp>
      <tp t="s">
        <v>#N/A N/A</v>
        <stp/>
        <stp>BDP|7438972943604723358</stp>
        <tr r="J50" s="2"/>
      </tp>
      <tp t="s">
        <v>#N/A N/A</v>
        <stp/>
        <stp>BDP|7440677506399242554</stp>
        <tr r="J113" s="2"/>
      </tp>
      <tp t="s">
        <v>#N/A Requesting Data...2417312667</v>
        <stp/>
        <stp>BDP|3044297199250421560</stp>
        <tr r="N13" s="1"/>
        <tr r="L86" s="2"/>
      </tp>
      <tp t="s">
        <v>#N/A Requesting Data...2130253593</v>
        <stp/>
        <stp>BDP|2453306706685531955</stp>
        <tr r="N41" s="1"/>
        <tr r="L303" s="2"/>
      </tp>
      <tp t="s">
        <v>#N/A N/A</v>
        <stp/>
        <stp>BDP|9960385933233118712</stp>
        <tr r="F285" s="2"/>
      </tp>
      <tp t="s">
        <v>#N/A N/A</v>
        <stp/>
        <stp>BDP|5040909743490799565</stp>
        <tr r="H219" s="2"/>
      </tp>
      <tp t="s">
        <v>#N/A N/A</v>
        <stp/>
        <stp>BDP|9797287306663278585</stp>
        <tr r="N301" s="2"/>
      </tp>
      <tp t="s">
        <v>#N/A Requesting Data...2031067267</v>
        <stp/>
        <stp>BDP|4533037385813135212</stp>
        <tr r="K25" s="1"/>
        <tr r="I176" s="2"/>
      </tp>
      <tp t="s">
        <v>#N/A N/A</v>
        <stp/>
        <stp>BDP|7617026437731886884</stp>
        <tr r="J140" s="2"/>
      </tp>
      <tp t="s">
        <v>#N/A N/A</v>
        <stp/>
        <stp>BDP|6706138682707441517</stp>
        <tr r="C205" s="2"/>
      </tp>
      <tp t="s">
        <v>#N/A N/A</v>
        <stp/>
        <stp>BDP|9736757450774824290</stp>
        <tr r="F13" s="2"/>
      </tp>
      <tp t="s">
        <v>#N/A N/A</v>
        <stp/>
        <stp>BDP|7056105592570152200</stp>
        <tr r="L68" s="2"/>
      </tp>
      <tp t="s">
        <v>#N/A N/A</v>
        <stp/>
        <stp>BDP|2338294275873890942</stp>
        <tr r="C226" s="2"/>
      </tp>
      <tp t="s">
        <v>#N/A N/A</v>
        <stp/>
        <stp>BDP|3348253336979532669</stp>
        <tr r="F138" s="2"/>
      </tp>
      <tp t="s">
        <v>#N/A N/A</v>
        <stp/>
        <stp>BDP|5703404137919979696</stp>
        <tr r="M227" s="2"/>
      </tp>
      <tp t="s">
        <v>#N/A N/A</v>
        <stp/>
        <stp>BDP|7571593887914344387</stp>
        <tr r="F186" s="2"/>
      </tp>
      <tp t="s">
        <v>#N/A N/A</v>
        <stp/>
        <stp>BDP|4410265171458732441</stp>
        <tr r="M19" s="2"/>
      </tp>
      <tp t="s">
        <v>#N/A N/A</v>
        <stp/>
        <stp>BDP|8329524531480957395</stp>
        <tr r="F69" s="2"/>
      </tp>
      <tp t="s">
        <v>#N/A N/A</v>
        <stp/>
        <stp>BDP|3038682011498052194</stp>
        <tr r="E178" s="2"/>
      </tp>
      <tp t="s">
        <v>#N/A N/A</v>
        <stp/>
        <stp>BDP|5662165150164028804</stp>
        <tr r="D123" s="2"/>
      </tp>
      <tp t="s">
        <v>#N/A N/A</v>
        <stp/>
        <stp>BDP|5801351488456488519</stp>
        <tr r="M178" s="2"/>
      </tp>
      <tp t="s">
        <v>#N/A N/A</v>
        <stp/>
        <stp>BDP|7423460343643944998</stp>
        <tr r="J218" s="2"/>
      </tp>
      <tp t="s">
        <v>#N/A N/A</v>
        <stp/>
        <stp>BDP|3797437267248731455</stp>
        <tr r="M219" s="2"/>
      </tp>
      <tp t="s">
        <v>#N/A N/A</v>
        <stp/>
        <stp>BDP|5606998728044652703</stp>
        <tr r="J135" s="2"/>
      </tp>
      <tp t="s">
        <v>#N/A N/A</v>
        <stp/>
        <stp>BDP|9955486373052566565</stp>
        <tr r="J281" s="2"/>
      </tp>
      <tp t="s">
        <v>#N/A N/A</v>
        <stp/>
        <stp>BDP|9970875649078644006</stp>
        <tr r="C183" s="2"/>
      </tp>
      <tp t="s">
        <v>#N/A N/A</v>
        <stp/>
        <stp>BDP|1848472644888235488</stp>
        <tr r="I117" s="2"/>
      </tp>
      <tp t="s">
        <v>#N/A N/A</v>
        <stp/>
        <stp>BDP|2351578001302124858</stp>
        <tr r="E100" s="2"/>
      </tp>
      <tp t="s">
        <v>#N/A N/A</v>
        <stp/>
        <stp>BDP|6208224077276504831</stp>
        <tr r="M287" s="2"/>
      </tp>
      <tp t="s">
        <v>#N/A N/A</v>
        <stp/>
        <stp>BDP|9535754031901365147</stp>
        <tr r="H30" s="2"/>
      </tp>
      <tp t="s">
        <v>#N/A N/A</v>
        <stp/>
        <stp>BDP|1871357997800957652</stp>
        <tr r="C120" s="2"/>
      </tp>
      <tp t="s">
        <v>#N/A N/A</v>
        <stp/>
        <stp>BDP|8533614335466027670</stp>
        <tr r="F224" s="2"/>
      </tp>
      <tp t="s">
        <v>#N/A N/A</v>
        <stp/>
        <stp>BDP|6121473450509852381</stp>
        <tr r="C284" s="2"/>
      </tp>
      <tp t="s">
        <v>#N/A N/A</v>
        <stp/>
        <stp>BDP|1440245070200658906</stp>
        <tr r="I168" s="2"/>
      </tp>
      <tp t="s">
        <v>#N/A Requesting Data...3134871826</v>
        <stp/>
        <stp>BDP|1421883201111200595</stp>
        <tr r="I37" s="1"/>
        <tr r="G276" s="2"/>
      </tp>
      <tp t="s">
        <v>#N/A N/A</v>
        <stp/>
        <stp>BDP|4220377088712330085</stp>
        <tr r="E34" s="2"/>
      </tp>
      <tp t="s">
        <v>#N/A N/A</v>
        <stp/>
        <stp>BDP|1235416282137662715</stp>
        <tr r="E227" s="2"/>
      </tp>
      <tp t="s">
        <v>#N/A N/A</v>
        <stp/>
        <stp>BDP|8499178804267390333</stp>
        <tr r="C123" s="2"/>
      </tp>
      <tp t="s">
        <v>#N/A N/A</v>
        <stp/>
        <stp>BDP|8879287547303737078</stp>
        <tr r="C242" s="2"/>
      </tp>
      <tp t="s">
        <v>#N/A Requesting Data...1700357517</v>
        <stp/>
        <stp>BDP|3918339115214996812</stp>
        <tr r="F19" s="1"/>
        <tr r="D142" s="2"/>
      </tp>
      <tp t="s">
        <v>#N/A N/A</v>
        <stp/>
        <stp>BDP|3575521567494211950</stp>
        <tr r="L305" s="2"/>
      </tp>
      <tp t="s">
        <v>#N/A N/A</v>
        <stp/>
        <stp>BDP|7963316887911092085</stp>
        <tr r="H311" s="2"/>
      </tp>
      <tp t="s">
        <v>#N/A N/A</v>
        <stp/>
        <stp>BDP|7210122327579608062</stp>
        <tr r="D170" s="2"/>
      </tp>
      <tp t="s">
        <v>#N/A N/A</v>
        <stp/>
        <stp>BDP|7885167839819017102</stp>
        <tr r="N221" s="2"/>
      </tp>
      <tp t="s">
        <v>#N/A N/A</v>
        <stp/>
        <stp>BDP|8271304120140512438</stp>
        <tr r="K124" s="2"/>
      </tp>
      <tp t="s">
        <v>#N/A N/A</v>
        <stp/>
        <stp>BDP|5234541780850675546</stp>
        <tr r="F265" s="2"/>
      </tp>
      <tp t="s">
        <v>#N/A N/A</v>
        <stp/>
        <stp>BDP|4067697988115487215</stp>
        <tr r="D59" s="2"/>
      </tp>
      <tp t="s">
        <v>#N/A N/A</v>
        <stp/>
        <stp>BDP|7276382196406133693</stp>
        <tr r="G289" s="2"/>
      </tp>
      <tp t="s">
        <v>#N/A N/A</v>
        <stp/>
        <stp>BDP|7415001437099606010</stp>
        <tr r="C308" s="2"/>
      </tp>
      <tp t="s">
        <v>#N/A N/A</v>
        <stp/>
        <stp>BDP|3212953832192213631</stp>
        <tr r="L286" s="2"/>
      </tp>
      <tp t="s">
        <v>#N/A N/A</v>
        <stp/>
        <stp>BDP|6430397958055761861</stp>
        <tr r="N60" s="2"/>
      </tp>
      <tp t="s">
        <v>#N/A N/A</v>
        <stp/>
        <stp>BDP|1443535937822636828</stp>
        <tr r="H188" s="2"/>
      </tp>
      <tp t="s">
        <v>#N/A N/A</v>
        <stp/>
        <stp>BDP|5604216927891771921</stp>
        <tr r="N140" s="2"/>
      </tp>
      <tp t="s">
        <v>#N/A N/A</v>
        <stp/>
        <stp>BDP|8739066457152383204</stp>
        <tr r="E290" s="2"/>
      </tp>
      <tp t="s">
        <v>#N/A Requesting Data...1675505303</v>
        <stp/>
        <stp>BDP|3529459668274467895</stp>
        <tr r="G20" s="1"/>
        <tr r="E146" s="2"/>
      </tp>
      <tp t="s">
        <v>#N/A N/A</v>
        <stp/>
        <stp>BDP|4587460785085516065</stp>
        <tr r="E158" s="2"/>
      </tp>
      <tp t="s">
        <v>#N/A N/A</v>
        <stp/>
        <stp>BDP|5997733451508956275</stp>
        <tr r="E299" s="2"/>
      </tp>
      <tp t="s">
        <v>#N/A N/A</v>
        <stp/>
        <stp>BDP|4138471912805135908</stp>
        <tr r="N232" s="2"/>
      </tp>
      <tp t="s">
        <v>#N/A N/A</v>
        <stp/>
        <stp>BDP|6011263079259347794</stp>
        <tr r="I273" s="2"/>
      </tp>
      <tp t="s">
        <v>#N/A N/A</v>
        <stp/>
        <stp>BDP|5815842526522650091</stp>
        <tr r="D228" s="2"/>
      </tp>
      <tp t="s">
        <v>#N/A N/A</v>
        <stp/>
        <stp>BDP|6668237402800083926</stp>
        <tr r="C111" s="2"/>
      </tp>
      <tp t="s">
        <v>#N/A N/A</v>
        <stp/>
        <stp>BDP|4860132671789520559</stp>
        <tr r="C113" s="2"/>
      </tp>
      <tp t="s">
        <v>#N/A N/A</v>
        <stp/>
        <stp>BDP|9400940878930145935</stp>
        <tr r="L189" s="2"/>
      </tp>
      <tp t="s">
        <v>#N/A N/A</v>
        <stp/>
        <stp>BDP|6902349175255553975</stp>
        <tr r="J168" s="2"/>
      </tp>
      <tp t="s">
        <v>#N/A Requesting Data...2563396167</v>
        <stp/>
        <stp>BDP|8641123144383383096</stp>
        <tr r="J37" s="1"/>
        <tr r="H276" s="2"/>
      </tp>
      <tp t="s">
        <v>#N/A N/A</v>
        <stp/>
        <stp>BDP|9521666200382139389</stp>
        <tr r="M314" s="2"/>
      </tp>
      <tp t="s">
        <v>#N/A N/A</v>
        <stp/>
        <stp>BDP|4928468420234385863</stp>
        <tr r="F182" s="2"/>
      </tp>
      <tp t="s">
        <v>#N/A N/A</v>
        <stp/>
        <stp>BDP|5031415186712850552</stp>
        <tr r="F179" s="2"/>
      </tp>
      <tp t="s">
        <v>#N/A N/A</v>
        <stp/>
        <stp>BDP|9148789919416293786</stp>
        <tr r="F316" s="2"/>
      </tp>
      <tp t="s">
        <v>#N/A N/A</v>
        <stp/>
        <stp>BDP|7725927737264186786</stp>
        <tr r="C174" s="2"/>
      </tp>
      <tp t="s">
        <v>#N/A N/A</v>
        <stp/>
        <stp>BDP|8736524649674384340</stp>
        <tr r="H67" s="2"/>
      </tp>
      <tp t="s">
        <v>#N/A N/A</v>
        <stp/>
        <stp>BDP|9839191328941239500</stp>
        <tr r="M79" s="2"/>
      </tp>
      <tp t="s">
        <v>#N/A N/A</v>
        <stp/>
        <stp>BDP|4587715803089507495</stp>
        <tr r="J301" s="2"/>
      </tp>
      <tp t="s">
        <v>#N/A N/A</v>
        <stp/>
        <stp>BDP|8696267743044059481</stp>
        <tr r="N75" s="2"/>
      </tp>
      <tp t="s">
        <v>#N/A Requesting Data...2981574390</v>
        <stp/>
        <stp>BDP|5091871743663612491</stp>
        <tr r="K5" s="1"/>
        <tr r="I29" s="2"/>
      </tp>
      <tp t="s">
        <v>#N/A N/A</v>
        <stp/>
        <stp>BDP|7236100349655603964</stp>
        <tr r="C60" s="2"/>
      </tp>
      <tp t="s">
        <v>#N/A N/A</v>
        <stp/>
        <stp>BDP|7756301858089633627</stp>
        <tr r="M105" s="2"/>
      </tp>
      <tp t="s">
        <v>#N/A N/A</v>
        <stp/>
        <stp>BDP|6687728099135678306</stp>
        <tr r="G28" s="2"/>
      </tp>
      <tp t="s">
        <v>#N/A N/A</v>
        <stp/>
        <stp>BDP|6002980735485236744</stp>
        <tr r="F249" s="2"/>
      </tp>
      <tp t="s">
        <v>#N/A N/A</v>
        <stp/>
        <stp>BDP|9031357853759528886</stp>
        <tr r="D174" s="2"/>
      </tp>
      <tp t="s">
        <v>#N/A N/A</v>
        <stp/>
        <stp>BDP|2892011184985141172</stp>
        <tr r="D110" s="2"/>
      </tp>
      <tp t="s">
        <v>#N/A N/A</v>
        <stp/>
        <stp>BDP|3003820822460882704</stp>
        <tr r="F27" s="2"/>
      </tp>
      <tp t="s">
        <v>#N/A N/A</v>
        <stp/>
        <stp>BDP|8033496594078658338</stp>
        <tr r="K240" s="2"/>
      </tp>
      <tp t="s">
        <v>#N/A Requesting Data...3076315009</v>
        <stp/>
        <stp>BDP|2179653242886928874</stp>
        <tr r="O35" s="1"/>
        <tr r="M243" s="2"/>
      </tp>
      <tp t="s">
        <v>#N/A N/A</v>
        <stp/>
        <stp>BDP|5676768495751598482</stp>
        <tr r="K172" s="2"/>
      </tp>
      <tp t="s">
        <v>#N/A N/A</v>
        <stp/>
        <stp>BDP|7941716713128133725</stp>
        <tr r="C97" s="2"/>
      </tp>
      <tp t="s">
        <v>#N/A N/A</v>
        <stp/>
        <stp>BDP|3479289307318173733</stp>
        <tr r="F284" s="2"/>
      </tp>
      <tp t="s">
        <v>#N/A N/A</v>
        <stp/>
        <stp>BDP|3083800358160324020</stp>
        <tr r="J55" s="2"/>
      </tp>
      <tp t="s">
        <v>#N/A N/A</v>
        <stp/>
        <stp>BDP|6513152804671516885</stp>
        <tr r="G217" s="2"/>
      </tp>
      <tp t="s">
        <v>#N/A N/A</v>
        <stp/>
        <stp>BDP|7293821084020446999</stp>
        <tr r="E184" s="2"/>
      </tp>
      <tp t="s">
        <v>#N/A N/A</v>
        <stp/>
        <stp>BDP|1311141697807082096</stp>
        <tr r="E46" s="2"/>
      </tp>
      <tp t="s">
        <v>#N/A N/A</v>
        <stp/>
        <stp>BDP|8465071095158932718</stp>
        <tr r="F191" s="2"/>
      </tp>
      <tp t="s">
        <v>#N/A N/A</v>
        <stp/>
        <stp>BDP|9682794009160056089</stp>
        <tr r="H170" s="2"/>
      </tp>
      <tp t="s">
        <v>#N/A N/A</v>
        <stp/>
        <stp>BDP|8504336957780991068</stp>
        <tr r="N45" s="2"/>
      </tp>
      <tp t="s">
        <v>#N/A N/A</v>
        <stp/>
        <stp>BDP|9646061426451004482</stp>
        <tr r="K112" s="2"/>
      </tp>
      <tp t="s">
        <v>#N/A N/A</v>
        <stp/>
        <stp>BDP|7577924219762913390</stp>
        <tr r="C230" s="2"/>
      </tp>
      <tp t="s">
        <v>#N/A N/A</v>
        <stp/>
        <stp>BDP|8632175008162451536</stp>
        <tr r="M60" s="2"/>
      </tp>
      <tp t="s">
        <v>#N/A N/A</v>
        <stp/>
        <stp>BDP|7079448348891200800</stp>
        <tr r="L175" s="2"/>
      </tp>
      <tp t="s">
        <v>#N/A N/A</v>
        <stp/>
        <stp>BDP|2294789767085176820</stp>
        <tr r="I14" s="2"/>
      </tp>
      <tp t="s">
        <v>#N/A N/A</v>
        <stp/>
        <stp>BDP|6803313909093866878</stp>
        <tr r="N234" s="2"/>
      </tp>
      <tp t="s">
        <v>#N/A N/A</v>
        <stp/>
        <stp>BDP|8827563005534028748</stp>
        <tr r="D35" s="2"/>
      </tp>
      <tp t="s">
        <v>#N/A N/A</v>
        <stp/>
        <stp>BDP|6974916248215836070</stp>
        <tr r="I165" s="2"/>
      </tp>
      <tp t="s">
        <v>#N/A Requesting Data...3034911595</v>
        <stp/>
        <stp>BDP|6399410929007781932</stp>
        <tr r="H8" s="1"/>
        <tr r="F38" s="2"/>
      </tp>
      <tp t="s">
        <v>#N/A N/A</v>
        <stp/>
        <stp>BDP|8119530970631868552</stp>
        <tr r="L135" s="2"/>
      </tp>
      <tp t="s">
        <v>#N/A N/A</v>
        <stp/>
        <stp>BDP|9331910239114074947</stp>
        <tr r="I89" s="2"/>
      </tp>
      <tp t="s">
        <v>#N/A N/A</v>
        <stp/>
        <stp>BDP|3753351080636487098</stp>
        <tr r="N98" s="2"/>
      </tp>
      <tp t="s">
        <v>#N/A N/A</v>
        <stp/>
        <stp>BDP|2896021246921553960</stp>
        <tr r="F266" s="2"/>
      </tp>
      <tp t="s">
        <v>#N/A N/A</v>
        <stp/>
        <stp>BDP|7809785287600123696</stp>
        <tr r="I125" s="2"/>
      </tp>
      <tp t="s">
        <v>#N/A N/A</v>
        <stp/>
        <stp>BDP|3523930109914149018</stp>
        <tr r="I57" s="2"/>
      </tp>
      <tp t="s">
        <v>#N/A Requesting Data...1689427103</v>
        <stp/>
        <stp>BDP|6878814885071021908</stp>
        <tr r="F5" s="1"/>
        <tr r="D29" s="2"/>
      </tp>
      <tp t="s">
        <v>#N/A N/A</v>
        <stp/>
        <stp>BDP|7919413885747326226</stp>
        <tr r="H33" s="2"/>
      </tp>
      <tp t="s">
        <v>#N/A N/A</v>
        <stp/>
        <stp>BDP|4304380191664531435</stp>
        <tr r="M154" s="2"/>
      </tp>
      <tp t="s">
        <v>#N/A N/A</v>
        <stp/>
        <stp>BDP|6965787419579092748</stp>
        <tr r="J15" s="2"/>
      </tp>
      <tp t="s">
        <v>#N/A N/A</v>
        <stp/>
        <stp>BDP|7071792427875197931</stp>
        <tr r="K37" s="2"/>
      </tp>
      <tp t="s">
        <v>#N/A N/A</v>
        <stp/>
        <stp>BDP|3743851057834031485</stp>
        <tr r="L130" s="2"/>
      </tp>
      <tp t="s">
        <v>#N/A N/A</v>
        <stp/>
        <stp>BDP|8295060546812910060</stp>
        <tr r="N39" s="2"/>
      </tp>
      <tp t="s">
        <v>#N/A N/A</v>
        <stp/>
        <stp>BDP|8409219813654248198</stp>
        <tr r="D188" s="2"/>
      </tp>
      <tp t="s">
        <v>#N/A N/A</v>
        <stp/>
        <stp>BDP|6377167188245025402</stp>
        <tr r="H185" s="2"/>
      </tp>
      <tp t="s">
        <v>#N/A N/A</v>
        <stp/>
        <stp>BDP|1218253522789186665</stp>
        <tr r="E136" s="2"/>
      </tp>
      <tp t="s">
        <v>#N/A N/A</v>
        <stp/>
        <stp>BDP|1128969573662754310</stp>
        <tr r="H183" s="2"/>
      </tp>
      <tp t="s">
        <v>#N/A N/A</v>
        <stp/>
        <stp>BDP|8631331324703468478</stp>
        <tr r="K218" s="2"/>
      </tp>
      <tp t="s">
        <v>#N/A N/A</v>
        <stp/>
        <stp>BDP|8279169459191926360</stp>
        <tr r="C39" s="2"/>
      </tp>
      <tp t="s">
        <v>#N/A N/A</v>
        <stp/>
        <stp>BDP|9633675033022283023</stp>
        <tr r="N160" s="2"/>
      </tp>
      <tp t="s">
        <v>#N/A Requesting Data...1909455304</v>
        <stp/>
        <stp>BDP|8391775017484213435</stp>
        <tr r="L5" s="1"/>
        <tr r="J29" s="2"/>
      </tp>
      <tp t="s">
        <v>#N/A N/A</v>
        <stp/>
        <stp>BDP|6987056928292076864</stp>
        <tr r="N279" s="2"/>
      </tp>
      <tp t="s">
        <v>#N/A N/A</v>
        <stp/>
        <stp>BDP|4167816414805036670</stp>
        <tr r="D298" s="2"/>
      </tp>
      <tp t="s">
        <v>#N/A N/A</v>
        <stp/>
        <stp>BDP|8303816381371530757</stp>
        <tr r="D158" s="2"/>
      </tp>
      <tp t="s">
        <v>#N/A Requesting Data...3084279457</v>
        <stp/>
        <stp>BDP|8765927003086481919</stp>
        <tr r="E5" s="1"/>
        <tr r="C29" s="2"/>
      </tp>
      <tp t="s">
        <v>#N/A N/A</v>
        <stp/>
        <stp>BDP|9262734473434934386</stp>
        <tr r="D311" s="2"/>
      </tp>
      <tp t="s">
        <v>#N/A N/A</v>
        <stp/>
        <stp>BDP|3824764024701046990</stp>
        <tr r="M170" s="2"/>
      </tp>
      <tp t="s">
        <v>#N/A Requesting Data...2421648314</v>
        <stp/>
        <stp>BDP|6516841162002500454</stp>
        <tr r="J3" s="1"/>
        <tr r="H20" s="2"/>
      </tp>
      <tp t="s">
        <v>#N/A Requesting Data...2409947367</v>
        <stp/>
        <stp>BDP|4657607922919023741</stp>
        <tr r="P29" s="1"/>
        <tr r="N193" s="2"/>
      </tp>
      <tp t="s">
        <v>#N/A N/A</v>
        <stp/>
        <stp>BDP|7697060013299106123</stp>
        <tr r="J111" s="2"/>
      </tp>
      <tp t="s">
        <v>#N/A Requesting Data...3759086949</v>
        <stp/>
        <stp>BDP|4666519687855181214</stp>
        <tr r="L17" s="1"/>
        <tr r="J109" s="2"/>
      </tp>
      <tp t="s">
        <v>#N/A Requesting Data...3636613500</v>
        <stp/>
        <stp>BDP|1007787398195022408</stp>
        <tr r="P40" s="1"/>
        <tr r="N297" s="2"/>
      </tp>
      <tp t="s">
        <v>#N/A N/A</v>
        <stp/>
        <stp>BDP|6067860350993016662</stp>
        <tr r="E114" s="2"/>
      </tp>
      <tp t="s">
        <v>#N/A N/A</v>
        <stp/>
        <stp>BDP|8646745653806116209</stp>
        <tr r="L120" s="2"/>
      </tp>
      <tp t="s">
        <v>#N/A N/A</v>
        <stp/>
        <stp>BDP|6666610731558793507</stp>
        <tr r="L183" s="2"/>
      </tp>
      <tp t="s">
        <v>#N/A N/A</v>
        <stp/>
        <stp>BDP|6475175999109816931</stp>
        <tr r="M315" s="2"/>
      </tp>
      <tp t="s">
        <v>#N/A N/A</v>
        <stp/>
        <stp>BDP|2745896945219350992</stp>
        <tr r="K284" s="2"/>
      </tp>
      <tp t="s">
        <v>#N/A N/A</v>
        <stp/>
        <stp>BDP|1203140292673488419</stp>
        <tr r="F219" s="2"/>
      </tp>
      <tp t="s">
        <v>#N/A N/A</v>
        <stp/>
        <stp>BDP|9816483931240299050</stp>
        <tr r="F35" s="2"/>
      </tp>
      <tp t="s">
        <v>#N/A Requesting Data...4187382496</v>
        <stp/>
        <stp>BDP|7870284496775988795</stp>
        <tr r="J6" s="1"/>
        <tr r="H31" s="2"/>
      </tp>
      <tp t="s">
        <v>#N/A N/A</v>
        <stp/>
        <stp>BDP|3242253398902139487</stp>
        <tr r="L108" s="2"/>
      </tp>
      <tp t="s">
        <v>#N/A N/A</v>
        <stp/>
        <stp>BDP|8570428655545360271</stp>
        <tr r="K53" s="2"/>
      </tp>
      <tp t="s">
        <v>#N/A N/A</v>
        <stp/>
        <stp>BDP|2343719089321561286</stp>
        <tr r="M94" s="2"/>
      </tp>
      <tp t="s">
        <v>#N/A N/A</v>
        <stp/>
        <stp>BDP|9445271447121727057</stp>
        <tr r="N257" s="2"/>
      </tp>
      <tp t="s">
        <v>#N/A N/A</v>
        <stp/>
        <stp>BDP|9127400481028653307</stp>
        <tr r="N58" s="2"/>
      </tp>
      <tp t="s">
        <v>#N/A Requesting Data...1647459519</v>
        <stp/>
        <stp>BDP|3017144290544715152</stp>
        <tr r="I26" s="1"/>
        <tr r="G180" s="2"/>
      </tp>
      <tp t="s">
        <v>#N/A N/A</v>
        <stp/>
        <stp>BDP|6050181694418300893</stp>
        <tr r="K139" s="2"/>
      </tp>
      <tp t="s">
        <v>#N/A N/A</v>
        <stp/>
        <stp>BDP|5855759386233804759</stp>
        <tr r="D101" s="2"/>
      </tp>
      <tp t="s">
        <v>#N/A Requesting Data...3048747393</v>
        <stp/>
        <stp>BDP|9868358928585227302</stp>
        <tr r="I13" s="1"/>
        <tr r="G86" s="2"/>
      </tp>
      <tp t="s">
        <v>#N/A N/A</v>
        <stp/>
        <stp>BDP|4834471084971875742</stp>
        <tr r="D177" s="2"/>
      </tp>
      <tp t="s">
        <v>#N/A N/A</v>
        <stp/>
        <stp>BDP|9488722748455982107</stp>
        <tr r="J34" s="2"/>
      </tp>
      <tp t="s">
        <v>#N/A N/A</v>
        <stp/>
        <stp>BDP|2621579435419732349</stp>
        <tr r="D294" s="2"/>
      </tp>
      <tp t="s">
        <v>#N/A N/A</v>
        <stp/>
        <stp>BDP|6570831575867319042</stp>
        <tr r="K237" s="2"/>
      </tp>
      <tp t="s">
        <v>#N/A N/A</v>
        <stp/>
        <stp>BDP|2356816674807537477</stp>
        <tr r="J247" s="2"/>
      </tp>
      <tp t="s">
        <v>#N/A N/A</v>
        <stp/>
        <stp>BDP|4304893440093877565</stp>
        <tr r="E61" s="2"/>
      </tp>
      <tp t="s">
        <v>#N/A N/A</v>
        <stp/>
        <stp>BDP|2569777731759641112</stp>
        <tr r="I274" s="2"/>
      </tp>
      <tp t="s">
        <v>#N/A N/A</v>
        <stp/>
        <stp>BDP|1011223682674353173</stp>
        <tr r="L309" s="2"/>
      </tp>
      <tp t="s">
        <v>#N/A N/A</v>
        <stp/>
        <stp>BDP|1631084849103679854</stp>
        <tr r="H222" s="2"/>
      </tp>
      <tp t="s">
        <v>#N/A N/A</v>
        <stp/>
        <stp>BDP|4616910789403870839</stp>
        <tr r="E284" s="2"/>
      </tp>
      <tp t="s">
        <v>#N/A N/A</v>
        <stp/>
        <stp>BDP|4716419096930787722</stp>
        <tr r="J35" s="2"/>
      </tp>
      <tp t="s">
        <v>#N/A N/A</v>
        <stp/>
        <stp>BDP|9444607332242793042</stp>
        <tr r="K138" s="2"/>
      </tp>
      <tp t="s">
        <v>#N/A N/A</v>
        <stp/>
        <stp>BDP|2065174147601194842</stp>
        <tr r="F100" s="2"/>
      </tp>
      <tp t="s">
        <v>#N/A N/A</v>
        <stp/>
        <stp>BDP|7943534806248057498</stp>
        <tr r="E266" s="2"/>
      </tp>
      <tp t="s">
        <v>#N/A Requesting Data...3628431703</v>
        <stp/>
        <stp>BDP|7063258475969116548</stp>
        <tr r="I30" s="1"/>
        <tr r="G197" s="2"/>
      </tp>
      <tp t="s">
        <v>#N/A N/A</v>
        <stp/>
        <stp>BDP|5631703521168352615</stp>
        <tr r="F96" s="2"/>
      </tp>
      <tp t="s">
        <v>#N/A N/A</v>
        <stp/>
        <stp>BDP|6572754026818021538</stp>
        <tr r="D251" s="2"/>
      </tp>
      <tp t="s">
        <v>#N/A N/A</v>
        <stp/>
        <stp>BDP|4625940126648829997</stp>
        <tr r="D220" s="2"/>
      </tp>
      <tp t="s">
        <v>#N/A N/A</v>
        <stp/>
        <stp>BDP|8057424871011453427</stp>
        <tr r="I4" s="2"/>
      </tp>
      <tp t="s">
        <v>#N/A N/A</v>
        <stp/>
        <stp>BDP|9754248323526211080</stp>
        <tr r="G57" s="2"/>
      </tp>
      <tp t="s">
        <v>#N/A N/A</v>
        <stp/>
        <stp>BDP|1691320788245304058</stp>
        <tr r="L43" s="2"/>
      </tp>
      <tp t="s">
        <v>#N/A N/A</v>
        <stp/>
        <stp>BDP|1501882490698564724</stp>
        <tr r="M119" s="2"/>
      </tp>
      <tp t="s">
        <v>#N/A N/A</v>
        <stp/>
        <stp>BDP|3993701016673022946</stp>
        <tr r="K110" s="2"/>
      </tp>
      <tp t="s">
        <v>#N/A N/A</v>
        <stp/>
        <stp>BDP|9385461508872055065</stp>
        <tr r="L188" s="2"/>
      </tp>
      <tp t="s">
        <v>#N/A N/A</v>
        <stp/>
        <stp>BDP|9447244348902560268</stp>
        <tr r="I75" s="2"/>
      </tp>
      <tp t="s">
        <v>#N/A N/A</v>
        <stp/>
        <stp>BDP|8227919306257804959</stp>
        <tr r="C221" s="2"/>
      </tp>
      <tp t="s">
        <v>#N/A N/A</v>
        <stp/>
        <stp>BDP|9917144825610944594</stp>
        <tr r="F67" s="2"/>
      </tp>
      <tp t="s">
        <v>#N/A N/A</v>
        <stp/>
        <stp>BDP|4341959739975417431</stp>
        <tr r="M97" s="2"/>
      </tp>
      <tp t="s">
        <v>#N/A N/A</v>
        <stp/>
        <stp>BDP|8824518851866465140</stp>
        <tr r="G195" s="2"/>
      </tp>
      <tp t="s">
        <v>#N/A N/A</v>
        <stp/>
        <stp>BDP|6980188790830097196</stp>
        <tr r="L285" s="2"/>
      </tp>
      <tp t="s">
        <v>#N/A N/A</v>
        <stp/>
        <stp>BDP|7754282849098780682</stp>
        <tr r="N245" s="2"/>
      </tp>
      <tp t="s">
        <v>#N/A N/A</v>
        <stp/>
        <stp>BDP|2401125755840263987</stp>
        <tr r="M113" s="2"/>
      </tp>
      <tp t="s">
        <v>#N/A N/A</v>
        <stp/>
        <stp>BDP|8135083737514443032</stp>
        <tr r="H88" s="2"/>
      </tp>
      <tp t="s">
        <v>#N/A N/A</v>
        <stp/>
        <stp>BDP|7808515888477847202</stp>
        <tr r="C41" s="2"/>
      </tp>
      <tp t="s">
        <v>#N/A N/A</v>
        <stp/>
        <stp>BDP|5845916371830840498</stp>
        <tr r="J79" s="2"/>
      </tp>
      <tp t="s">
        <v>#N/A N/A</v>
        <stp/>
        <stp>BDP|3752334537549262584</stp>
        <tr r="K88" s="2"/>
      </tp>
      <tp t="s">
        <v>#N/A Requesting Data...1766273520</v>
        <stp/>
        <stp>BDP|3309975577270443299</stp>
        <tr r="J14" s="1"/>
        <tr r="H91" s="2"/>
      </tp>
      <tp t="s">
        <v>#N/A N/A</v>
        <stp/>
        <stp>BDP|5454151580447879474</stp>
        <tr r="E288" s="2"/>
      </tp>
      <tp t="s">
        <v>#N/A N/A</v>
        <stp/>
        <stp>BDP|1947050062690543852</stp>
        <tr r="K267" s="2"/>
      </tp>
      <tp t="s">
        <v>#N/A N/A</v>
        <stp/>
        <stp>BDP|2414877654871949113</stp>
        <tr r="F153" s="2"/>
      </tp>
      <tp t="s">
        <v>#N/A N/A</v>
        <stp/>
        <stp>BDP|4035401848408088372</stp>
        <tr r="M53" s="2"/>
      </tp>
      <tp t="s">
        <v>#N/A N/A</v>
        <stp/>
        <stp>BDP|8752122461699975925</stp>
        <tr r="F120" s="2"/>
      </tp>
      <tp t="s">
        <v>#N/A Requesting Data...4157105433</v>
        <stp/>
        <stp>BDP|6733524703588933404</stp>
        <tr r="M12" s="1"/>
        <tr r="K85" s="2"/>
      </tp>
      <tp t="s">
        <v>#N/A N/A</v>
        <stp/>
        <stp>BDP|5030104249858532738</stp>
        <tr r="N6" s="2"/>
      </tp>
      <tp t="s">
        <v>#N/A Requesting Data...2314848748</v>
        <stp/>
        <stp>BDP|9126666341850883410</stp>
        <tr r="H23" s="1"/>
        <tr r="F155" s="2"/>
      </tp>
      <tp t="s">
        <v>#N/A N/A</v>
        <stp/>
        <stp>BDP|2051925288239712524</stp>
        <tr r="H40" s="2"/>
      </tp>
      <tp t="s">
        <v>#N/A N/A</v>
        <stp/>
        <stp>BDP|2798295823739019413</stp>
        <tr r="K140" s="2"/>
      </tp>
      <tp t="s">
        <v>#N/A N/A</v>
        <stp/>
        <stp>BDP|1573848706554985228</stp>
        <tr r="I124" s="2"/>
      </tp>
      <tp t="s">
        <v>#N/A N/A</v>
        <stp/>
        <stp>BDP|8394183722200202477</stp>
        <tr r="G255" s="2"/>
      </tp>
      <tp t="s">
        <v>#N/A N/A</v>
        <stp/>
        <stp>BDP|9758099513083653477</stp>
        <tr r="N269" s="2"/>
      </tp>
      <tp t="s">
        <v>#N/A N/A</v>
        <stp/>
        <stp>BDP|5271714983114417182</stp>
        <tr r="M288" s="2"/>
      </tp>
      <tp t="s">
        <v>#N/A N/A</v>
        <stp/>
        <stp>BDP|9250238529173786534</stp>
        <tr r="E242" s="2"/>
      </tp>
      <tp t="s">
        <v>#N/A N/A</v>
        <stp/>
        <stp>BDP|8645534224193801352</stp>
        <tr r="E281" s="2"/>
      </tp>
      <tp t="s">
        <v>#N/A N/A</v>
        <stp/>
        <stp>BDP|2867221284573225404</stp>
        <tr r="J280" s="2"/>
      </tp>
      <tp t="s">
        <v>#N/A N/A</v>
        <stp/>
        <stp>BDP|9031717154576066293</stp>
        <tr r="D252" s="2"/>
      </tp>
      <tp t="s">
        <v>#N/A N/A</v>
        <stp/>
        <stp>BDP|2456889648044907507</stp>
        <tr r="G293" s="2"/>
      </tp>
      <tp t="s">
        <v>#N/A N/A</v>
        <stp/>
        <stp>BDP|9987801897017063033</stp>
        <tr r="E18" s="2"/>
      </tp>
      <tp t="s">
        <v>#N/A N/A</v>
        <stp/>
        <stp>BDP|9344781849220652593</stp>
        <tr r="E237" s="2"/>
      </tp>
      <tp t="s">
        <v>#N/A N/A</v>
        <stp/>
        <stp>BDP|7645941858614408030</stp>
        <tr r="L129" s="2"/>
      </tp>
      <tp t="s">
        <v>#N/A N/A</v>
        <stp/>
        <stp>BDP|5882328631342573837</stp>
        <tr r="C261" s="2"/>
      </tp>
      <tp t="s">
        <v>#N/A N/A</v>
        <stp/>
        <stp>BDP|8118582313753148064</stp>
        <tr r="H258" s="2"/>
      </tp>
      <tp t="s">
        <v>#N/A Requesting Data...3590373445</v>
        <stp/>
        <stp>BDP|6808954348766512229</stp>
        <tr r="H10" s="1"/>
        <tr r="F74" s="2"/>
      </tp>
      <tp t="s">
        <v>#N/A N/A</v>
        <stp/>
        <stp>BDP|4964665893524944078</stp>
        <tr r="L267" s="2"/>
      </tp>
      <tp t="s">
        <v>#N/A Requesting Data...2736850947</v>
        <stp/>
        <stp>BDP|7552123433908763214</stp>
        <tr r="J15" s="1"/>
        <tr r="H93" s="2"/>
      </tp>
      <tp t="s">
        <v>#N/A N/A</v>
        <stp/>
        <stp>BDP|7398524695792456623</stp>
        <tr r="N182" s="2"/>
      </tp>
      <tp t="s">
        <v>#N/A Requesting Data...3282424293</v>
        <stp/>
        <stp>BDP|7988198815529129169</stp>
        <tr r="H14" s="1"/>
        <tr r="F91" s="2"/>
      </tp>
      <tp t="s">
        <v>#N/A N/A</v>
        <stp/>
        <stp>BDP|7549813395681390809</stp>
        <tr r="F52" s="2"/>
      </tp>
      <tp t="s">
        <v>#N/A N/A</v>
        <stp/>
        <stp>BDP|9596781214261907131</stp>
        <tr r="H274" s="2"/>
      </tp>
      <tp t="s">
        <v>#N/A N/A</v>
        <stp/>
        <stp>BDP|9664485753520882765</stp>
        <tr r="G44" s="2"/>
      </tp>
      <tp t="s">
        <v>#N/A N/A</v>
        <stp/>
        <stp>BDP|9228361406904806191</stp>
        <tr r="C105" s="2"/>
      </tp>
      <tp t="s">
        <v>#N/A N/A</v>
        <stp/>
        <stp>BDP|8112425977987202352</stp>
        <tr r="G286" s="2"/>
      </tp>
      <tp t="s">
        <v>#N/A N/A</v>
        <stp/>
        <stp>BDP|2967781324431216940</stp>
        <tr r="G307" s="2"/>
      </tp>
      <tp t="s">
        <v>#N/A N/A</v>
        <stp/>
        <stp>BDP|2431391591673619490</stp>
        <tr r="L229" s="2"/>
      </tp>
      <tp t="s">
        <v>#N/A N/A</v>
        <stp/>
        <stp>BDP|9789439597672368936</stp>
        <tr r="J214" s="2"/>
      </tp>
      <tp t="s">
        <v>#N/A N/A</v>
        <stp/>
        <stp>BDP|8458014210335377353</stp>
        <tr r="M98" s="2"/>
      </tp>
      <tp t="s">
        <v>#N/A N/A</v>
        <stp/>
        <stp>BDP|8004694498971314926</stp>
        <tr r="F57" s="2"/>
      </tp>
      <tp t="s">
        <v>#N/A N/A</v>
        <stp/>
        <stp>BDP|6351168681118522813</stp>
        <tr r="N124" s="2"/>
      </tp>
      <tp t="s">
        <v>#N/A N/A</v>
        <stp/>
        <stp>BDP|7204502959319280196</stp>
        <tr r="C254" s="2"/>
      </tp>
      <tp t="s">
        <v>#N/A N/A</v>
        <stp/>
        <stp>BDP|6443227412542794831</stp>
        <tr r="J304" s="2"/>
      </tp>
      <tp t="s">
        <v>#N/A Requesting Data...3870939851</v>
        <stp/>
        <stp>BDP|6527952781391379927</stp>
        <tr r="N19" s="1"/>
        <tr r="L142" s="2"/>
      </tp>
      <tp t="s">
        <v>#N/A N/A</v>
        <stp/>
        <stp>BDP|8381483404412685193</stp>
        <tr r="G147" s="2"/>
      </tp>
      <tp t="s">
        <v>#N/A N/A</v>
        <stp/>
        <stp>BDP|1325100725609449424</stp>
        <tr r="K133" s="2"/>
      </tp>
      <tp t="s">
        <v>#N/A N/A</v>
        <stp/>
        <stp>BDP|5759219685087105732</stp>
        <tr r="J37" s="2"/>
      </tp>
      <tp t="s">
        <v>#N/A N/A</v>
        <stp/>
        <stp>BDP|2136004884693343670</stp>
        <tr r="E253" s="2"/>
      </tp>
      <tp t="s">
        <v>#N/A N/A</v>
        <stp/>
        <stp>BDP|9607161567125127400</stp>
        <tr r="J177" s="2"/>
      </tp>
      <tp t="s">
        <v>#N/A N/A</v>
        <stp/>
        <stp>BDP|4057720510538142551</stp>
        <tr r="E230" s="2"/>
      </tp>
      <tp t="s">
        <v>#N/A Requesting Data...3266948203</v>
        <stp/>
        <stp>BDP|5923299357385485854</stp>
        <tr r="M8" s="1"/>
        <tr r="K38" s="2"/>
      </tp>
      <tp t="s">
        <v>#N/A N/A</v>
        <stp/>
        <stp>BDP|5529953924736675758</stp>
        <tr r="D244" s="2"/>
      </tp>
      <tp t="s">
        <v>#N/A Requesting Data...2840914958</v>
        <stp/>
        <stp>BDP|3046389224409854435</stp>
        <tr r="M27" s="1"/>
        <tr r="K181" s="2"/>
      </tp>
      <tp t="s">
        <v>#N/A N/A</v>
        <stp/>
        <stp>BDP|1370764493474188407</stp>
        <tr r="C301" s="2"/>
      </tp>
      <tp t="s">
        <v>#N/A N/A</v>
        <stp/>
        <stp>BDP|5769723588842338793</stp>
        <tr r="E105" s="2"/>
      </tp>
      <tp t="s">
        <v>#N/A N/A</v>
        <stp/>
        <stp>BDP|9704309975044274671</stp>
        <tr r="G63" s="2"/>
      </tp>
      <tp t="s">
        <v>#N/A Requesting Data...1799150648</v>
        <stp/>
        <stp>BDP|8951020107854371389</stp>
        <tr r="M16" s="1"/>
        <tr r="K95" s="2"/>
      </tp>
      <tp t="s">
        <v>#N/A N/A</v>
        <stp/>
        <stp>BDP|5878772143378333186</stp>
        <tr r="I281" s="2"/>
      </tp>
      <tp t="s">
        <v>#N/A N/A</v>
        <stp/>
        <stp>BDP|5323700304299120410</stp>
        <tr r="L30" s="2"/>
      </tp>
      <tp t="s">
        <v>#N/A N/A</v>
        <stp/>
        <stp>BDP|9852093242107536513</stp>
        <tr r="G310" s="2"/>
      </tp>
      <tp t="s">
        <v>#N/A N/A</v>
        <stp/>
        <stp>BDP|2544461695927523748</stp>
        <tr r="K280" s="2"/>
      </tp>
      <tp t="s">
        <v>#N/A N/A</v>
        <stp/>
        <stp>BDP|4940091451247577908</stp>
        <tr r="H107" s="2"/>
      </tp>
      <tp t="s">
        <v>#N/A N/A</v>
        <stp/>
        <stp>BDP|6036536395585378015</stp>
        <tr r="L47" s="2"/>
      </tp>
      <tp t="s">
        <v>#N/A N/A</v>
        <stp/>
        <stp>BDP|9370407500051299342</stp>
        <tr r="I210" s="2"/>
      </tp>
      <tp t="s">
        <v>#N/A N/A</v>
        <stp/>
        <stp>BDP|7232187897967976716</stp>
        <tr r="N183" s="2"/>
      </tp>
      <tp t="s">
        <v>#N/A N/A</v>
        <stp/>
        <stp>BDP|2399360081681508740</stp>
        <tr r="D87" s="2"/>
      </tp>
      <tp t="s">
        <v>#N/A Requesting Data...2549321964</v>
        <stp/>
        <stp>BDP|8504292468963822097</stp>
        <tr r="I6" s="1"/>
        <tr r="G31" s="2"/>
      </tp>
      <tp t="s">
        <v>#N/A N/A</v>
        <stp/>
        <stp>BDP|5427458998250841748</stp>
        <tr r="K67" s="2"/>
      </tp>
      <tp t="s">
        <v>#N/A N/A</v>
        <stp/>
        <stp>BDP|2194862450736181633</stp>
        <tr r="J165" s="2"/>
      </tp>
      <tp t="s">
        <v>#N/A N/A</v>
        <stp/>
        <stp>BDP|6446331283626714465</stp>
        <tr r="G251" s="2"/>
      </tp>
      <tp t="s">
        <v>#N/A N/A</v>
        <stp/>
        <stp>BDP|8922500734826102061</stp>
        <tr r="K263" s="2"/>
      </tp>
      <tp t="s">
        <v>#N/A N/A</v>
        <stp/>
        <stp>BDP|2330700683776981337</stp>
        <tr r="E244" s="2"/>
      </tp>
      <tp t="s">
        <v>#N/A N/A</v>
        <stp/>
        <stp>BDP|9072372147722266489</stp>
        <tr r="H186" s="2"/>
      </tp>
      <tp t="s">
        <v>#N/A Requesting Data...3030726422</v>
        <stp/>
        <stp>BDP|4191595533188883298</stp>
        <tr r="H34" s="1"/>
        <tr r="F233" s="2"/>
      </tp>
      <tp t="s">
        <v>#N/A N/A</v>
        <stp/>
        <stp>BDP|9053652752404845658</stp>
        <tr r="G89" s="2"/>
      </tp>
      <tp t="s">
        <v>#N/A N/A</v>
        <stp/>
        <stp>BDP|8927649202453279577</stp>
        <tr r="L167" s="2"/>
      </tp>
      <tp t="s">
        <v>#N/A N/A</v>
        <stp/>
        <stp>BDP|7435135084943863519</stp>
        <tr r="H177" s="2"/>
      </tp>
      <tp t="s">
        <v>#N/A N/A</v>
        <stp/>
        <stp>BDP|7807122187016234051</stp>
        <tr r="D30" s="2"/>
      </tp>
      <tp t="s">
        <v>#N/A Requesting Data...2076447925</v>
        <stp/>
        <stp>BDP|8897290567506470289</stp>
        <tr r="I7" s="1"/>
        <tr r="G36" s="2"/>
      </tp>
      <tp t="s">
        <v>#N/A N/A</v>
        <stp/>
        <stp>BDP|2535132332471958975</stp>
        <tr r="I198" s="2"/>
      </tp>
      <tp t="s">
        <v>#N/A N/A</v>
        <stp/>
        <stp>BDP|8765971697087560798</stp>
        <tr r="D183" s="2"/>
      </tp>
      <tp t="s">
        <v>#N/A N/A</v>
        <stp/>
        <stp>BDP|7171622839832837891</stp>
        <tr r="F307" s="2"/>
      </tp>
      <tp t="s">
        <v>#N/A N/A</v>
        <stp/>
        <stp>BDP|3336841768732447702</stp>
        <tr r="H286" s="2"/>
      </tp>
      <tp t="s">
        <v>#N/A Requesting Data...3570183833</v>
        <stp/>
        <stp>BDP|8649269542343993500</stp>
        <tr r="P41" s="1"/>
        <tr r="N303" s="2"/>
      </tp>
      <tp t="s">
        <v>#N/A N/A</v>
        <stp/>
        <stp>BDP|3916867400083181066</stp>
        <tr r="M253" s="2"/>
      </tp>
      <tp t="s">
        <v>#N/A N/A</v>
        <stp/>
        <stp>BDP|2567813322101780193</stp>
        <tr r="L173" s="2"/>
      </tp>
      <tp t="s">
        <v>#N/A N/A</v>
        <stp/>
        <stp>BDP|2534404197947963037</stp>
        <tr r="F267" s="2"/>
      </tp>
      <tp t="s">
        <v>#N/A N/A</v>
        <stp/>
        <stp>BDP|1160032827752950949</stp>
        <tr r="G62" s="2"/>
      </tp>
      <tp t="s">
        <v>#N/A N/A</v>
        <stp/>
        <stp>BDP|3449467720068240588</stp>
        <tr r="M205" s="2"/>
      </tp>
      <tp t="s">
        <v>#N/A N/A</v>
        <stp/>
        <stp>BDP|8259750059693407121</stp>
        <tr r="C287" s="2"/>
      </tp>
      <tp t="s">
        <v>#N/A N/A</v>
        <stp/>
        <stp>BDP|9858675007556556149</stp>
        <tr r="C72" s="2"/>
      </tp>
      <tp t="s">
        <v>#N/A N/A</v>
        <stp/>
        <stp>BDP|7040056446652967939</stp>
        <tr r="H302" s="2"/>
      </tp>
      <tp t="s">
        <v>#N/A N/A</v>
        <stp/>
        <stp>BDP|9955056773994375257</stp>
        <tr r="D133" s="2"/>
      </tp>
      <tp t="s">
        <v>#N/A N/A</v>
        <stp/>
        <stp>BDP|2788955680528268391</stp>
        <tr r="E156" s="2"/>
      </tp>
      <tp t="s">
        <v>#N/A N/A</v>
        <stp/>
        <stp>BDP|4478021980004751086</stp>
        <tr r="M132" s="2"/>
      </tp>
      <tp t="s">
        <v>#N/A N/A</v>
        <stp/>
        <stp>BDP|8855702456416118467</stp>
        <tr r="L115" s="2"/>
      </tp>
      <tp t="s">
        <v>#N/A Requesting Data...3375080681</v>
        <stp/>
        <stp>BDP|3921137655197584839</stp>
        <tr r="L40" s="1"/>
        <tr r="J297" s="2"/>
      </tp>
      <tp t="s">
        <v>#N/A N/A</v>
        <stp/>
        <stp>BDP|4720041536366430985</stp>
        <tr r="F287" s="2"/>
      </tp>
      <tp t="s">
        <v>#N/A Requesting Data...3892776076</v>
        <stp/>
        <stp>BDP|2683624794744640186</stp>
        <tr r="O9" s="1"/>
        <tr r="M42" s="2"/>
      </tp>
      <tp t="s">
        <v>#N/A N/A</v>
        <stp/>
        <stp>BDP|8754767375562372298</stp>
        <tr r="H80" s="2"/>
      </tp>
      <tp t="s">
        <v>#N/A N/A</v>
        <stp/>
        <stp>BDP|4696940213213677797</stp>
        <tr r="C277" s="2"/>
      </tp>
      <tp t="s">
        <v>#N/A N/A</v>
        <stp/>
        <stp>BDP|2356099054868741770</stp>
        <tr r="D47" s="2"/>
      </tp>
      <tp t="s">
        <v>#N/A N/A</v>
        <stp/>
        <stp>BDP|7314859819867467155</stp>
        <tr r="F60" s="2"/>
      </tp>
      <tp t="s">
        <v>#N/A N/A</v>
        <stp/>
        <stp>BDP|8843557023382836581</stp>
        <tr r="I15" s="2"/>
      </tp>
      <tp t="s">
        <v>#N/A N/A</v>
        <stp/>
        <stp>BDP|1995038292229015967</stp>
        <tr r="I213" s="2"/>
      </tp>
      <tp t="s">
        <v>#N/A N/A</v>
        <stp/>
        <stp>BDP|5307483476688206610</stp>
        <tr r="F110" s="2"/>
      </tp>
      <tp t="s">
        <v>#N/A Requesting Data...2319982095</v>
        <stp/>
        <stp>BDP|1164041174979683792</stp>
        <tr r="I17" s="1"/>
        <tr r="G109" s="2"/>
      </tp>
      <tp t="s">
        <v>#N/A Requesting Data...4102362008</v>
        <stp/>
        <stp>BDP|1969860637375660704</stp>
        <tr r="E34" s="1"/>
        <tr r="C233" s="2"/>
      </tp>
      <tp t="s">
        <v>#N/A N/A</v>
        <stp/>
        <stp>BDP|6028378253661829934</stp>
        <tr r="M289" s="2"/>
      </tp>
      <tp t="s">
        <v>#N/A N/A</v>
        <stp/>
        <stp>BDP|8717206919285797663</stp>
        <tr r="J137" s="2"/>
      </tp>
      <tp t="s">
        <v>#N/A Requesting Data...3548754373</v>
        <stp/>
        <stp>BDP|5906616765518353519</stp>
        <tr r="E40" s="1"/>
        <tr r="C297" s="2"/>
      </tp>
      <tp t="s">
        <v>#N/A N/A</v>
        <stp/>
        <stp>BDP|7242563824978768086</stp>
        <tr r="I39" s="2"/>
      </tp>
      <tp t="s">
        <v>#N/A N/A</v>
        <stp/>
        <stp>BDP|5995729818703546893</stp>
        <tr r="K224" s="2"/>
      </tp>
      <tp t="s">
        <v>#N/A N/A</v>
        <stp/>
        <stp>BDP|4311511134253815911</stp>
        <tr r="C71" s="2"/>
      </tp>
      <tp t="s">
        <v>#N/A Requesting Data...3427194661</v>
        <stp/>
        <stp>BDP|7735453859616734830</stp>
        <tr r="F14" s="1"/>
        <tr r="D91" s="2"/>
      </tp>
      <tp t="s">
        <v>#N/A Requesting Data...2637048747</v>
        <stp/>
        <stp>BDP|3858577637778048575</stp>
        <tr r="O24" s="1"/>
        <tr r="M157" s="2"/>
      </tp>
      <tp t="s">
        <v>#N/A N/A</v>
        <stp/>
        <stp>BDP|1754395466975661918</stp>
        <tr r="H49" s="2"/>
      </tp>
      <tp t="s">
        <v>#N/A N/A</v>
        <stp/>
        <stp>BDP|3796999515305439639</stp>
        <tr r="C110" s="2"/>
      </tp>
      <tp t="s">
        <v>#N/A N/A</v>
        <stp/>
        <stp>BDP|2811602601858134443</stp>
        <tr r="I222" s="2"/>
      </tp>
      <tp t="s">
        <v>#N/A N/A</v>
        <stp/>
        <stp>BDP|7317754714310686984</stp>
        <tr r="J284" s="2"/>
      </tp>
      <tp t="s">
        <v>#N/A N/A</v>
        <stp/>
        <stp>BDP|8991724053896404408</stp>
        <tr r="J75" s="2"/>
      </tp>
      <tp t="s">
        <v>#N/A N/A</v>
        <stp/>
        <stp>BDP|8933072075070688718</stp>
        <tr r="C177" s="2"/>
      </tp>
      <tp t="s">
        <v>#N/A N/A</v>
        <stp/>
        <stp>BDP|6778636369506556847</stp>
        <tr r="F154" s="2"/>
      </tp>
      <tp t="s">
        <v>#N/A Requesting Data...4202747331</v>
        <stp/>
        <stp>BDP|4014688751987313867</stp>
        <tr r="P14" s="1"/>
        <tr r="N91" s="2"/>
      </tp>
      <tp t="s">
        <v>#N/A N/A</v>
        <stp/>
        <stp>BDP|9779194222303527149</stp>
        <tr r="F296" s="2"/>
      </tp>
      <tp t="s">
        <v>#N/A N/A</v>
        <stp/>
        <stp>BDP|6473518481597052495</stp>
        <tr r="C275" s="2"/>
      </tp>
      <tp t="s">
        <v>#N/A Requesting Data...3995374538</v>
        <stp/>
        <stp>BDP|9293403442235863450</stp>
        <tr r="H9" s="1"/>
        <tr r="F42" s="2"/>
      </tp>
      <tp t="s">
        <v>#N/A N/A</v>
        <stp/>
        <stp>BDP|1804601114589364720</stp>
        <tr r="D261" s="2"/>
      </tp>
      <tp t="s">
        <v>#N/A N/A</v>
        <stp/>
        <stp>BDP|4321381437728927482</stp>
        <tr r="E3" s="2"/>
      </tp>
      <tp t="s">
        <v>#N/A N/A</v>
        <stp/>
        <stp>BDP|7577085676771604901</stp>
        <tr r="L92" s="2"/>
      </tp>
      <tp t="s">
        <v>#N/A N/A</v>
        <stp/>
        <stp>BDP|8753135772282231495</stp>
        <tr r="H271" s="2"/>
      </tp>
      <tp t="s">
        <v>#N/A N/A</v>
        <stp/>
        <stp>BDP|7489903769986838686</stp>
        <tr r="K311" s="2"/>
      </tp>
      <tp t="s">
        <v>#N/A N/A</v>
        <stp/>
        <stp>BDP|2994542556179088399</stp>
        <tr r="F289" s="2"/>
      </tp>
      <tp t="s">
        <v>#N/A N/A</v>
        <stp/>
        <stp>BDP|2731547071939836181</stp>
        <tr r="L40" s="2"/>
      </tp>
      <tp t="s">
        <v>#N/A N/A</v>
        <stp/>
        <stp>BDP|6272823178042267381</stp>
        <tr r="E98" s="2"/>
      </tp>
      <tp t="s">
        <v>#N/A N/A</v>
        <stp/>
        <stp>BDP|4733713955106604876</stp>
        <tr r="H114" s="2"/>
      </tp>
      <tp t="s">
        <v>#N/A N/A</v>
        <stp/>
        <stp>BDP|9705010590739372176</stp>
        <tr r="F188" s="2"/>
      </tp>
      <tp t="s">
        <v>#N/A N/A</v>
        <stp/>
        <stp>BDP|2766940374626339265</stp>
        <tr r="N84" s="2"/>
      </tp>
      <tp t="s">
        <v>#N/A N/A</v>
        <stp/>
        <stp>BDP|5042122161473231920</stp>
        <tr r="K235" s="2"/>
      </tp>
      <tp t="s">
        <v>#N/A N/A</v>
        <stp/>
        <stp>BDP|8056875472819690600</stp>
        <tr r="D149" s="2"/>
      </tp>
      <tp t="s">
        <v>#N/A N/A</v>
        <stp/>
        <stp>BDP|7473533592034001767</stp>
        <tr r="G144" s="2"/>
      </tp>
      <tp t="s">
        <v>#N/A N/A</v>
        <stp/>
        <stp>BDP|3287243887068403968</stp>
        <tr r="F251" s="2"/>
      </tp>
      <tp t="s">
        <v>#N/A N/A</v>
        <stp/>
        <stp>BDP|9559799134311284495</stp>
        <tr r="D211" s="2"/>
      </tp>
      <tp t="s">
        <v>#N/A N/A</v>
        <stp/>
        <stp>BDP|7720025111996251862</stp>
        <tr r="M293" s="2"/>
      </tp>
      <tp t="s">
        <v>#N/A N/A</v>
        <stp/>
        <stp>BDP|9715038953036211252</stp>
        <tr r="F263" s="2"/>
      </tp>
      <tp t="s">
        <v>#N/A N/A</v>
        <stp/>
        <stp>BDP|8200281638963145230</stp>
        <tr r="H245" s="2"/>
      </tp>
      <tp t="s">
        <v>#N/A N/A</v>
        <stp/>
        <stp>BDP|4583358693383585564</stp>
        <tr r="K47" s="2"/>
      </tp>
      <tp t="s">
        <v>#N/A N/A</v>
        <stp/>
        <stp>BDP|1584276310148762257</stp>
        <tr r="C179" s="2"/>
      </tp>
      <tp t="s">
        <v>#N/A N/A</v>
        <stp/>
        <stp>BDP|4686067582202572674</stp>
        <tr r="F169" s="2"/>
      </tp>
      <tp t="s">
        <v>#N/A N/A</v>
        <stp/>
        <stp>BDP|2241476633294151976</stp>
        <tr r="H153" s="2"/>
      </tp>
      <tp t="s">
        <v>#N/A N/A</v>
        <stp/>
        <stp>BDP|1920001108381506842</stp>
        <tr r="K244" s="2"/>
      </tp>
      <tp t="s">
        <v>#N/A N/A</v>
        <stp/>
        <stp>BDP|8719883482510810053</stp>
        <tr r="C285" s="2"/>
      </tp>
      <tp t="s">
        <v>#N/A N/A</v>
        <stp/>
        <stp>BDP|5126430996443258365</stp>
        <tr r="F315" s="2"/>
      </tp>
      <tp t="s">
        <v>#N/A N/A</v>
        <stp/>
        <stp>BDP|9198016503820665157</stp>
        <tr r="N166" s="2"/>
      </tp>
      <tp t="s">
        <v>#N/A N/A</v>
        <stp/>
        <stp>BDP|9181284163195942020</stp>
        <tr r="J196" s="2"/>
      </tp>
      <tp t="s">
        <v>#N/A N/A</v>
        <stp/>
        <stp>BDP|8049531744886216746</stp>
        <tr r="J154" s="2"/>
      </tp>
      <tp t="s">
        <v>#N/A N/A</v>
        <stp/>
        <stp>BDP|1770316213422437909</stp>
        <tr r="F49" s="2"/>
      </tp>
      <tp t="s">
        <v>#N/A N/A</v>
        <stp/>
        <stp>BDP|7056564279959758492</stp>
        <tr r="L69" s="2"/>
      </tp>
      <tp t="s">
        <v>#N/A N/A</v>
        <stp/>
        <stp>BDP|4762835455770673162</stp>
        <tr r="K55" s="2"/>
      </tp>
      <tp t="s">
        <v>#N/A N/A</v>
        <stp/>
        <stp>BDP|7756874366243124261</stp>
        <tr r="G196" s="2"/>
      </tp>
      <tp t="s">
        <v>#N/A N/A</v>
        <stp/>
        <stp>BDP|6330883703106908005</stp>
        <tr r="E189" s="2"/>
      </tp>
      <tp t="s">
        <v>#N/A N/A</v>
        <stp/>
        <stp>BDP|3536625867952666902</stp>
        <tr r="I104" s="2"/>
      </tp>
      <tp t="s">
        <v>#N/A N/A</v>
        <stp/>
        <stp>BDP|5265046677699585325</stp>
        <tr r="E250" s="2"/>
      </tp>
      <tp t="s">
        <v>#N/A N/A</v>
        <stp/>
        <stp>BDP|6894495188490870272</stp>
        <tr r="F275" s="2"/>
      </tp>
      <tp t="s">
        <v>#N/A N/A</v>
        <stp/>
        <stp>BDP|7470312891957536272</stp>
        <tr r="D130" s="2"/>
      </tp>
      <tp t="s">
        <v>#N/A N/A</v>
        <stp/>
        <stp>BDP|7631789408048024007</stp>
        <tr r="N49" s="2"/>
      </tp>
      <tp t="s">
        <v>#N/A Requesting Data...2334399196</v>
        <stp/>
        <stp>BDP|5082709985885323705</stp>
        <tr r="J20" s="1"/>
        <tr r="H146" s="2"/>
      </tp>
      <tp t="s">
        <v>#N/A N/A</v>
        <stp/>
        <stp>BDP|9352109027517012526</stp>
        <tr r="M59" s="2"/>
      </tp>
      <tp t="s">
        <v>#N/A N/A</v>
        <stp/>
        <stp>BDP|7208873905272507532</stp>
        <tr r="L89" s="2"/>
      </tp>
      <tp t="s">
        <v>#N/A N/A</v>
        <stp/>
        <stp>BDP|9805470185758804545</stp>
        <tr r="G76" s="2"/>
      </tp>
      <tp t="s">
        <v>#N/A N/A</v>
        <stp/>
        <stp>BDP|6576003778211231891</stp>
        <tr r="I315" s="2"/>
      </tp>
      <tp t="s">
        <v>#N/A N/A</v>
        <stp/>
        <stp>BDP|5274917374462753178</stp>
        <tr r="K108" s="2"/>
      </tp>
      <tp t="s">
        <v>#N/A N/A</v>
        <stp/>
        <stp>BDP|1649706780540018617</stp>
        <tr r="I3" s="2"/>
      </tp>
      <tp t="s">
        <v>#N/A N/A</v>
        <stp/>
        <stp>BDP|1948459172328822219</stp>
        <tr r="H138" s="2"/>
      </tp>
      <tp t="s">
        <v>#N/A N/A</v>
        <stp/>
        <stp>BDP|6588080183392975408</stp>
        <tr r="N161" s="2"/>
      </tp>
      <tp t="s">
        <v>#N/A N/A</v>
        <stp/>
        <stp>BDP|8251172272895809388</stp>
        <tr r="I220" s="2"/>
      </tp>
      <tp t="s">
        <v>#N/A N/A</v>
        <stp/>
        <stp>BDP|7213263581146190307</stp>
        <tr r="L242" s="2"/>
      </tp>
      <tp t="s">
        <v>#N/A N/A</v>
        <stp/>
        <stp>BDP|6168621399878914972</stp>
        <tr r="F231" s="2"/>
      </tp>
      <tp t="s">
        <v>#N/A N/A</v>
        <stp/>
        <stp>BDP|4549267583905776331</stp>
        <tr r="E257" s="2"/>
      </tp>
      <tp t="s">
        <v>#N/A N/A</v>
        <stp/>
        <stp>BDP|4296690177218940510</stp>
        <tr r="F73" s="2"/>
      </tp>
      <tp t="s">
        <v>#N/A N/A</v>
        <stp/>
        <stp>BDP|3789767283346641206</stp>
        <tr r="M277" s="2"/>
      </tp>
      <tp t="s">
        <v>#N/A N/A</v>
        <stp/>
        <stp>BDP|7203683780690754191</stp>
        <tr r="F111" s="2"/>
      </tp>
      <tp t="s">
        <v>#N/A Requesting Data...4127301319</v>
        <stp/>
        <stp>BDP|9201593735360344797</stp>
        <tr r="K12" s="1"/>
        <tr r="I85" s="2"/>
      </tp>
      <tp t="s">
        <v>#N/A N/A</v>
        <stp/>
        <stp>BDP|4335602746299020715</stp>
        <tr r="G40" s="2"/>
      </tp>
      <tp t="s">
        <v>#N/A N/A</v>
        <stp/>
        <stp>BDP|6041474230140564960</stp>
        <tr r="L170" s="2"/>
      </tp>
      <tp t="s">
        <v>#N/A N/A</v>
        <stp/>
        <stp>BDP|8611227631723797271</stp>
        <tr r="E115" s="2"/>
      </tp>
      <tp t="s">
        <v>#N/A N/A</v>
        <stp/>
        <stp>BDP|9398777846870579228</stp>
        <tr r="F250" s="2"/>
      </tp>
      <tp t="s">
        <v>#N/A N/A</v>
        <stp/>
        <stp>BDP|6606688741295829924</stp>
        <tr r="E169" s="2"/>
      </tp>
      <tp t="s">
        <v>#N/A N/A</v>
        <stp/>
        <stp>BDP|6393460793710325303</stp>
        <tr r="L62" s="2"/>
      </tp>
      <tp t="s">
        <v>#N/A N/A</v>
        <stp/>
        <stp>BDP|3231716594304697140</stp>
        <tr r="K265" s="2"/>
      </tp>
      <tp t="s">
        <v>#N/A N/A</v>
        <stp/>
        <stp>BDP|1746460263742209952</stp>
        <tr r="N225" s="2"/>
      </tp>
      <tp t="s">
        <v>#N/A N/A</v>
        <stp/>
        <stp>BDP|7259036931954520808</stp>
        <tr r="E185" s="2"/>
      </tp>
      <tp t="s">
        <v>#N/A N/A</v>
        <stp/>
        <stp>BDP|7678630643318335507</stp>
        <tr r="J209" s="2"/>
      </tp>
      <tp t="s">
        <v>#N/A N/A</v>
        <stp/>
        <stp>BDP|6904893973620300156</stp>
        <tr r="J60" s="2"/>
      </tp>
      <tp t="s">
        <v>#N/A N/A</v>
        <stp/>
        <stp>BDP|9483332338825254482</stp>
        <tr r="N123" s="2"/>
      </tp>
      <tp t="s">
        <v>#N/A N/A</v>
        <stp/>
        <stp>BDP|3118791035577917813</stp>
        <tr r="E309" s="2"/>
      </tp>
      <tp t="s">
        <v>#N/A N/A</v>
        <stp/>
        <stp>BDP|9201797401481865772</stp>
        <tr r="K288" s="2"/>
      </tp>
      <tp t="s">
        <v>#N/A N/A</v>
        <stp/>
        <stp>BDP|2693678133996073887</stp>
        <tr r="N90" s="2"/>
      </tp>
      <tp t="s">
        <v>#N/A Requesting Data...2007864001</v>
        <stp/>
        <stp>BDP|9424534445907858600</stp>
        <tr r="M5" s="1"/>
        <tr r="K29" s="2"/>
      </tp>
      <tp t="s">
        <v>#N/A N/A</v>
        <stp/>
        <stp>BDP|8827244537868560844</stp>
        <tr r="M283" s="2"/>
      </tp>
      <tp t="s">
        <v>#N/A N/A</v>
        <stp/>
        <stp>BDP|4326917737206815179</stp>
        <tr r="E217" s="2"/>
      </tp>
      <tp t="s">
        <v>#N/A N/A</v>
        <stp/>
        <stp>BDP|8760153312639841827</stp>
        <tr r="F5" s="2"/>
      </tp>
      <tp t="s">
        <v>#N/A N/A</v>
        <stp/>
        <stp>BDP|7089943648141691200</stp>
        <tr r="H113" s="2"/>
      </tp>
      <tp t="s">
        <v>#N/A N/A</v>
        <stp/>
        <stp>BDP|5754957778194276626</stp>
        <tr r="H254" s="2"/>
      </tp>
      <tp t="s">
        <v>#N/A N/A</v>
        <stp/>
        <stp>BDP|5873834541794951495</stp>
        <tr r="D273" s="2"/>
      </tp>
      <tp t="s">
        <v>#N/A N/A</v>
        <stp/>
        <stp>BDP|9153791976103374376</stp>
        <tr r="H236" s="2"/>
      </tp>
      <tp t="s">
        <v>#N/A N/A</v>
        <stp/>
        <stp>BDP|3781389591062443203</stp>
        <tr r="K232" s="2"/>
      </tp>
      <tp t="s">
        <v>#N/A N/A</v>
        <stp/>
        <stp>BDP|7284388461082391930</stp>
        <tr r="L179" s="2"/>
      </tp>
      <tp t="s">
        <v>#N/A N/A</v>
        <stp/>
        <stp>BDP|8819365985432903898</stp>
        <tr r="E293" s="2"/>
      </tp>
      <tp t="s">
        <v>#N/A N/A</v>
        <stp/>
        <stp>BDP|9438661674395531488</stp>
        <tr r="I110" s="2"/>
      </tp>
      <tp t="s">
        <v>#N/A N/A</v>
        <stp/>
        <stp>BDP|3630994645692513541</stp>
        <tr r="N266" s="2"/>
      </tp>
      <tp t="s">
        <v>#N/A N/A</v>
        <stp/>
        <stp>BDP|5820382411669901735</stp>
        <tr r="M30" s="2"/>
      </tp>
      <tp t="s">
        <v>#N/A N/A</v>
        <stp/>
        <stp>BDP|8851669871796575624</stp>
        <tr r="D238" s="2"/>
      </tp>
      <tp t="s">
        <v>#N/A N/A</v>
        <stp/>
        <stp>BDP|1496074084390961069</stp>
        <tr r="I178" s="2"/>
      </tp>
      <tp t="s">
        <v>#N/A N/A</v>
        <stp/>
        <stp>BDP|9357315450817856135</stp>
        <tr r="L58" s="2"/>
      </tp>
      <tp t="s">
        <v>#N/A N/A</v>
        <stp/>
        <stp>BDP|3707841335624619596</stp>
        <tr r="D240" s="2"/>
      </tp>
      <tp t="s">
        <v>#N/A N/A</v>
        <stp/>
        <stp>BDP|3503986431688668834</stp>
        <tr r="F82" s="2"/>
      </tp>
      <tp t="s">
        <v>#N/A N/A</v>
        <stp/>
        <stp>BDP|9539578215734703098</stp>
        <tr r="K207" s="2"/>
      </tp>
      <tp t="s">
        <v>#N/A N/A</v>
        <stp/>
        <stp>BDP|2155248880687218695</stp>
        <tr r="J151" s="2"/>
      </tp>
      <tp t="s">
        <v>#N/A N/A</v>
        <stp/>
        <stp>BDP|1012433159708339178</stp>
        <tr r="C154" s="2"/>
      </tp>
      <tp t="s">
        <v>#N/A Requesting Data...1992202932</v>
        <stp/>
        <stp>BDP|3353455068178545055</stp>
        <tr r="G15" s="1"/>
        <tr r="E93" s="2"/>
      </tp>
      <tp t="s">
        <v>#N/A N/A</v>
        <stp/>
        <stp>BDP|2368965717380962354</stp>
        <tr r="J236" s="2"/>
      </tp>
      <tp t="s">
        <v>#N/A N/A</v>
        <stp/>
        <stp>BDP|7529305886545438093</stp>
        <tr r="H283" s="2"/>
      </tp>
      <tp t="s">
        <v>#N/A N/A</v>
        <stp/>
        <stp>BDP|3504435672099884028</stp>
        <tr r="J215" s="2"/>
      </tp>
      <tp t="s">
        <v>#N/A N/A</v>
        <stp/>
        <stp>BDP|9742990982489358810</stp>
        <tr r="N122" s="2"/>
      </tp>
      <tp t="s">
        <v>#N/A N/A</v>
        <stp/>
        <stp>BDP|4965937995798851597</stp>
        <tr r="G60" s="2"/>
      </tp>
      <tp t="s">
        <v>#N/A Requesting Data...3103802362</v>
        <stp/>
        <stp>BDP|7457477744649173784</stp>
        <tr r="E36" s="1"/>
        <tr r="C260" s="2"/>
      </tp>
      <tp t="s">
        <v>#N/A N/A</v>
        <stp/>
        <stp>BDP|8651174290728798189</stp>
        <tr r="H256" s="2"/>
      </tp>
      <tp t="s">
        <v>#N/A N/A</v>
        <stp/>
        <stp>BDP|8982006751842083677</stp>
        <tr r="N28" s="2"/>
      </tp>
      <tp t="s">
        <v>#N/A N/A</v>
        <stp/>
        <stp>BDP|2620905948504766268</stp>
        <tr r="C271" s="2"/>
      </tp>
      <tp t="s">
        <v>#N/A N/A</v>
        <stp/>
        <stp>BDP|9925220110487284462</stp>
        <tr r="G240" s="2"/>
      </tp>
      <tp t="s">
        <v>#N/A N/A</v>
        <stp/>
        <stp>BDP|1062768153058217280</stp>
        <tr r="K179" s="2"/>
      </tp>
      <tp t="s">
        <v>#N/A N/A</v>
        <stp/>
        <stp>BDP|4977500187649194906</stp>
        <tr r="L28" s="2"/>
      </tp>
      <tp t="s">
        <v>#N/A N/A</v>
        <stp/>
        <stp>BDP|6476986759443805020</stp>
        <tr r="M234" s="2"/>
      </tp>
      <tp t="s">
        <v>#N/A N/A</v>
        <stp/>
        <stp>BDP|2238949125923554391</stp>
        <tr r="C149" s="2"/>
      </tp>
      <tp t="s">
        <v>#N/A N/A</v>
        <stp/>
        <stp>BDP|2696389980448940887</stp>
        <tr r="H12" s="2"/>
      </tp>
      <tp t="s">
        <v>#N/A N/A</v>
        <stp/>
        <stp>BDP|4698973607943327798</stp>
        <tr r="M279" s="2"/>
      </tp>
      <tp t="s">
        <v>#N/A N/A</v>
        <stp/>
        <stp>BDP|1309403384643296795</stp>
        <tr r="G271" s="2"/>
      </tp>
      <tp t="s">
        <v>#N/A N/A</v>
        <stp/>
        <stp>BDP|7899311340660250970</stp>
        <tr r="H210" s="2"/>
      </tp>
      <tp t="s">
        <v>#N/A N/A</v>
        <stp/>
        <stp>BDP|8194380602344792609</stp>
        <tr r="J68" s="2"/>
      </tp>
      <tp t="s">
        <v>#N/A N/A</v>
        <stp/>
        <stp>BDP|7007599910292631832</stp>
        <tr r="I127" s="2"/>
      </tp>
      <tp t="s">
        <v>#N/A N/A</v>
        <stp/>
        <stp>BDP|8279914039273185873</stp>
        <tr r="K252" s="2"/>
      </tp>
      <tp t="s">
        <v>#N/A N/A</v>
        <stp/>
        <stp>BDP|5351629545117070987</stp>
        <tr r="K33" s="2"/>
      </tp>
      <tp t="s">
        <v>#N/A N/A</v>
        <stp/>
        <stp>BDP|9610124059845686178</stp>
        <tr r="H244" s="2"/>
      </tp>
      <tp t="s">
        <v>#N/A N/A</v>
        <stp/>
        <stp>BDP|6116799794007474641</stp>
        <tr r="L172" s="2"/>
      </tp>
      <tp t="s">
        <v>#N/A N/A</v>
        <stp/>
        <stp>BDP|9955757775467134745</stp>
        <tr r="I70" s="2"/>
      </tp>
      <tp t="s">
        <v>#N/A N/A</v>
        <stp/>
        <stp>BDP|8779859280845703495</stp>
        <tr r="K32" s="2"/>
      </tp>
      <tp t="s">
        <v>#N/A N/A</v>
        <stp/>
        <stp>BDP|7775766635183901914</stp>
        <tr r="J7" s="2"/>
      </tp>
      <tp t="s">
        <v>#N/A N/A</v>
        <stp/>
        <stp>BDP|3490888720165641563</stp>
        <tr r="L51" s="2"/>
      </tp>
      <tp t="s">
        <v>#N/A N/A</v>
        <stp/>
        <stp>BDP|5554061644569948122</stp>
        <tr r="N285" s="2"/>
      </tp>
      <tp t="s">
        <v>#N/A N/A</v>
        <stp/>
        <stp>BDP|2283478660481087889</stp>
        <tr r="M133" s="2"/>
      </tp>
      <tp t="s">
        <v>#N/A N/A</v>
        <stp/>
        <stp>BDP|1679414441021225997</stp>
        <tr r="E188" s="2"/>
      </tp>
      <tp t="s">
        <v>#N/A N/A</v>
        <stp/>
        <stp>BDP|2301393356094790992</stp>
        <tr r="E96" s="2"/>
      </tp>
      <tp t="s">
        <v>#N/A N/A</v>
        <stp/>
        <stp>BDP|5456849801466335207</stp>
        <tr r="F170" s="2"/>
      </tp>
      <tp t="s">
        <v>#N/A N/A</v>
        <stp/>
        <stp>BDP|2544958901640737245</stp>
        <tr r="K210" s="2"/>
      </tp>
      <tp t="s">
        <v>#N/A N/A</v>
        <stp/>
        <stp>BDP|5318352580725235268</stp>
        <tr r="G90" s="2"/>
      </tp>
      <tp t="s">
        <v>#N/A Requesting Data...4030150840</v>
        <stp/>
        <stp>BDP|5960621478109818497</stp>
        <tr r="G19" s="1"/>
        <tr r="E142" s="2"/>
      </tp>
      <tp t="s">
        <v>#N/A N/A</v>
        <stp/>
        <stp>BDP|6179048743478204373</stp>
        <tr r="K6" s="2"/>
      </tp>
      <tp t="s">
        <v>#N/A Requesting Data...3559397010</v>
        <stp/>
        <stp>BDP|6051527165364791834</stp>
        <tr r="K39" s="1"/>
        <tr r="I282" s="2"/>
      </tp>
      <tp t="s">
        <v>#N/A N/A</v>
        <stp/>
        <stp>BDP|1992096071227252806</stp>
        <tr r="N80" s="2"/>
      </tp>
      <tp t="s">
        <v>#N/A N/A</v>
        <stp/>
        <stp>BDP|6264470584440662345</stp>
        <tr r="L125" s="2"/>
      </tp>
      <tp t="s">
        <v>#N/A N/A</v>
        <stp/>
        <stp>BDP|4017333745343631931</stp>
        <tr r="C141" s="2"/>
      </tp>
      <tp t="s">
        <v>#N/A N/A</v>
        <stp/>
        <stp>BDP|6641284369372165957</stp>
        <tr r="E66" s="2"/>
      </tp>
      <tp t="s">
        <v>#N/A N/A</v>
        <stp/>
        <stp>BDP|2581125396992290108</stp>
        <tr r="E191" s="2"/>
      </tp>
      <tp t="s">
        <v>#N/A N/A</v>
        <stp/>
        <stp>BDP|6641878930907477366</stp>
        <tr r="E89" s="2"/>
      </tp>
      <tp t="s">
        <v>#N/A N/A</v>
        <stp/>
        <stp>BDP|8235578801745358173</stp>
        <tr r="H96" s="2"/>
      </tp>
      <tp t="s">
        <v>#N/A Requesting Data...4123097764</v>
        <stp/>
        <stp>BDP|8942560222845923343</stp>
        <tr r="P37" s="1"/>
        <tr r="N276" s="2"/>
      </tp>
      <tp t="s">
        <v>#N/A N/A</v>
        <stp/>
        <stp>BDP|9457713034134172001</stp>
        <tr r="K81" s="2"/>
      </tp>
      <tp t="s">
        <v>#N/A N/A</v>
        <stp/>
        <stp>BDP|9665375377852583633</stp>
        <tr r="H161" s="2"/>
      </tp>
      <tp t="s">
        <v>#N/A N/A</v>
        <stp/>
        <stp>BDP|3703751290474773056</stp>
        <tr r="F253" s="2"/>
      </tp>
      <tp t="s">
        <v>#N/A N/A</v>
        <stp/>
        <stp>BDP|1910735788500600759</stp>
        <tr r="D288" s="2"/>
      </tp>
      <tp t="s">
        <v>#N/A N/A</v>
        <stp/>
        <stp>BDP|8626635505231470659</stp>
        <tr r="E206" s="2"/>
      </tp>
      <tp t="s">
        <v>#N/A N/A</v>
        <stp/>
        <stp>BDP|1397688898677539075</stp>
        <tr r="F80" s="2"/>
      </tp>
      <tp t="s">
        <v>#N/A N/A</v>
        <stp/>
        <stp>BDP|1624763018749914707</stp>
        <tr r="K99" s="2"/>
      </tp>
      <tp t="s">
        <v>#N/A N/A</v>
        <stp/>
        <stp>BDP|4235342030198748506</stp>
        <tr r="D304" s="2"/>
      </tp>
      <tp t="s">
        <v>#N/A N/A</v>
        <stp/>
        <stp>BDP|6748313916369913480</stp>
        <tr r="H108" s="2"/>
      </tp>
      <tp t="s">
        <v>#N/A N/A</v>
        <stp/>
        <stp>BDP|2578168383215688771</stp>
        <tr r="M270" s="2"/>
      </tp>
      <tp t="s">
        <v>#N/A Requesting Data...2880627669</v>
        <stp/>
        <stp>BDP|3115094309713968990</stp>
        <tr r="H41" s="1"/>
        <tr r="F303" s="2"/>
      </tp>
      <tp t="s">
        <v>#N/A N/A</v>
        <stp/>
        <stp>BDP|2449480396992924428</stp>
        <tr r="H159" s="2"/>
      </tp>
      <tp t="s">
        <v>#N/A N/A</v>
        <stp/>
        <stp>BDP|4598224673839023150</stp>
        <tr r="F71" s="2"/>
      </tp>
      <tp t="s">
        <v>#N/A N/A</v>
        <stp/>
        <stp>BDP|8099505744062155233</stp>
        <tr r="N14" s="2"/>
      </tp>
      <tp t="s">
        <v>#N/A N/A</v>
        <stp/>
        <stp>BDP|3340660693077575257</stp>
        <tr r="M250" s="2"/>
      </tp>
      <tp t="s">
        <v>#N/A N/A</v>
        <stp/>
        <stp>BDP|1381633480957730117</stp>
        <tr r="E132" s="2"/>
      </tp>
      <tp t="s">
        <v>#N/A N/A</v>
        <stp/>
        <stp>BDP|8425662410501708733</stp>
        <tr r="F15" s="2"/>
      </tp>
      <tp t="s">
        <v>#N/A N/A</v>
        <stp/>
        <stp>BDP|4610904176224185767</stp>
        <tr r="K66" s="2"/>
      </tp>
      <tp t="s">
        <v>#N/A N/A</v>
        <stp/>
        <stp>BDP|5280272682131202720</stp>
        <tr r="N291" s="2"/>
      </tp>
      <tp t="s">
        <v>#N/A N/A</v>
        <stp/>
        <stp>BDP|7147129942723375857</stp>
        <tr r="N101" s="2"/>
      </tp>
      <tp t="s">
        <v>#N/A N/A</v>
        <stp/>
        <stp>BDP|8683878530553062962</stp>
        <tr r="E301" s="2"/>
      </tp>
      <tp t="s">
        <v>#N/A N/A</v>
        <stp/>
        <stp>BDP|1764184602181959837</stp>
        <tr r="G6" s="2"/>
      </tp>
      <tp t="s">
        <v>#N/A N/A</v>
        <stp/>
        <stp>BDP|2099433437109080532</stp>
        <tr r="C47" s="2"/>
      </tp>
      <tp t="s">
        <v>#N/A N/A</v>
        <stp/>
        <stp>BDP|2037782938566037977</stp>
        <tr r="E81" s="2"/>
      </tp>
      <tp t="s">
        <v>#N/A N/A</v>
        <stp/>
        <stp>BDP|1673664851412401924</stp>
        <tr r="F136" s="2"/>
      </tp>
      <tp t="s">
        <v>#N/A N/A</v>
        <stp/>
        <stp>BDP|6537488873268838418</stp>
        <tr r="K215" s="2"/>
      </tp>
      <tp t="s">
        <v>#N/A N/A</v>
        <stp/>
        <stp>BDP|3313403167921959997</stp>
        <tr r="M182" s="2"/>
      </tp>
      <tp t="s">
        <v>#N/A N/A</v>
        <stp/>
        <stp>BDP|3830579170541307980</stp>
        <tr r="H55" s="2"/>
      </tp>
      <tp t="s">
        <v>#N/A Requesting Data...3320734473</v>
        <stp/>
        <stp>BDP|8365178717905478431</stp>
        <tr r="P21" s="1"/>
        <tr r="N148" s="2"/>
      </tp>
      <tp t="s">
        <v>#N/A N/A</v>
        <stp/>
        <stp>BDP|6455157081234452205</stp>
        <tr r="C10" s="2"/>
      </tp>
      <tp t="s">
        <v>#N/A N/A</v>
        <stp/>
        <stp>BDP|9272061751606759360</stp>
        <tr r="J159" s="2"/>
      </tp>
      <tp t="s">
        <v>#N/A N/A</v>
        <stp/>
        <stp>BDP|4186796986324909620</stp>
        <tr r="J124" s="2"/>
      </tp>
      <tp t="s">
        <v>#N/A N/A</v>
        <stp/>
        <stp>BDP|8783393749950445665</stp>
        <tr r="E186" s="2"/>
      </tp>
      <tp t="s">
        <v>#N/A N/A</v>
        <stp/>
        <stp>BDP|1472793361160026990</stp>
        <tr r="N125" s="2"/>
      </tp>
      <tp t="s">
        <v>#N/A N/A</v>
        <stp/>
        <stp>BDP|6160951568825358653</stp>
        <tr r="D239" s="2"/>
      </tp>
      <tp t="s">
        <v>#N/A Requesting Data...4138668249</v>
        <stp/>
        <stp>BDP|8060496953274865789</stp>
        <tr r="J5" s="1"/>
        <tr r="H29" s="2"/>
      </tp>
      <tp t="s">
        <v>#N/A N/A</v>
        <stp/>
        <stp>BDP|4981458567745051913</stp>
        <tr r="L111" s="2"/>
      </tp>
      <tp t="s">
        <v>#N/A N/A</v>
        <stp/>
        <stp>BDP|9126724829374801284</stp>
        <tr r="K79" s="2"/>
      </tp>
      <tp t="s">
        <v>#N/A Requesting Data...2175823942</v>
        <stp/>
        <stp>BDP|6270905239566779063</stp>
        <tr r="H12" s="1"/>
        <tr r="F85" s="2"/>
      </tp>
      <tp t="s">
        <v>#N/A N/A</v>
        <stp/>
        <stp>BDP|2447527956390972832</stp>
        <tr r="M49" s="2"/>
      </tp>
      <tp t="s">
        <v>#N/A N/A</v>
        <stp/>
        <stp>BDP|2539031841995801945</stp>
        <tr r="M57" s="2"/>
      </tp>
      <tp t="s">
        <v>#N/A N/A</v>
        <stp/>
        <stp>BDP|1955994619604757751</stp>
        <tr r="F299" s="2"/>
      </tp>
      <tp t="s">
        <v>#N/A N/A</v>
        <stp/>
        <stp>BDP|8980211791809262003</stp>
        <tr r="N4" s="2"/>
      </tp>
      <tp t="s">
        <v>#N/A N/A</v>
        <stp/>
        <stp>BDP|9800042116396667471</stp>
        <tr r="H275" s="2"/>
      </tp>
      <tp t="s">
        <v>#N/A N/A</v>
        <stp/>
        <stp>BDP|1996274887673531240</stp>
        <tr r="M37" s="2"/>
      </tp>
      <tp t="s">
        <v>#N/A N/A</v>
        <stp/>
        <stp>BDP|6191466870719726680</stp>
        <tr r="L186" s="2"/>
      </tp>
      <tp t="s">
        <v>#N/A Requesting Data...2765256566</v>
        <stp/>
        <stp>BDP|4945331808335984833</stp>
        <tr r="K24" s="1"/>
        <tr r="I157" s="2"/>
      </tp>
      <tp t="s">
        <v>#N/A N/A</v>
        <stp/>
        <stp>BDP|7016898743146153732</stp>
        <tr r="H75" s="2"/>
      </tp>
      <tp t="s">
        <v>#N/A N/A</v>
        <stp/>
        <stp>BDP|6514348382800859737</stp>
        <tr r="K50" s="2"/>
      </tp>
      <tp t="s">
        <v>#N/A N/A</v>
        <stp/>
        <stp>BDP|6393582273008270628</stp>
        <tr r="K251" s="2"/>
      </tp>
      <tp t="s">
        <v>#N/A Requesting Data...2912409597</v>
        <stp/>
        <stp>BDP|7114114089420631475</stp>
        <tr r="F30" s="1"/>
        <tr r="D197" s="2"/>
      </tp>
      <tp t="s">
        <v>#N/A N/A</v>
        <stp/>
        <stp>BDP|2115821208404718442</stp>
        <tr r="H137" s="2"/>
      </tp>
      <tp t="s">
        <v>#N/A Requesting Data...2855423080</v>
        <stp/>
        <stp>BDP|2754138516631876936</stp>
        <tr r="L14" s="1"/>
        <tr r="J91" s="2"/>
      </tp>
      <tp t="s">
        <v>#N/A Requesting Data...2262068811</v>
        <stp/>
        <stp>BDP|4860945977850008026</stp>
        <tr r="O25" s="1"/>
        <tr r="M176" s="2"/>
      </tp>
      <tp t="s">
        <v>#N/A N/A</v>
        <stp/>
        <stp>BDP|3402508195025077082</stp>
        <tr r="M27" s="2"/>
      </tp>
      <tp t="s">
        <v>#N/A N/A</v>
        <stp/>
        <stp>BDP|4200845742900554284</stp>
        <tr r="I140" s="2"/>
      </tp>
      <tp t="s">
        <v>#N/A N/A</v>
        <stp/>
        <stp>BDP|3505543689373572749</stp>
        <tr r="K116" s="2"/>
      </tp>
      <tp t="s">
        <v>#N/A N/A</v>
        <stp/>
        <stp>BDP|4534995263132110377</stp>
        <tr r="C70" s="2"/>
      </tp>
      <tp t="s">
        <v>#N/A N/A</v>
        <stp/>
        <stp>BDP|1773743029928481676</stp>
        <tr r="K73" s="2"/>
      </tp>
      <tp t="s">
        <v>#N/A N/A</v>
        <stp/>
        <stp>BDP|1320254784682362381</stp>
        <tr r="H172" s="2"/>
      </tp>
      <tp t="s">
        <v>#N/A N/A</v>
        <stp/>
        <stp>BDP|7747852334207842108</stp>
        <tr r="M257" s="2"/>
      </tp>
      <tp t="s">
        <v>#N/A N/A</v>
        <stp/>
        <stp>BDP|7899900572666240561</stp>
        <tr r="G150" s="2"/>
      </tp>
      <tp t="s">
        <v>#N/A N/A</v>
        <stp/>
        <stp>BDP|7758823078173013134</stp>
        <tr r="C237" s="2"/>
      </tp>
      <tp t="s">
        <v>#N/A N/A</v>
        <stp/>
        <stp>BDP|4469401499102765144</stp>
        <tr r="C12" s="2"/>
      </tp>
      <tp t="s">
        <v>#N/A N/A</v>
        <stp/>
        <stp>BDP|7430748898612399153</stp>
        <tr r="M80" s="2"/>
      </tp>
      <tp t="s">
        <v>#N/A N/A</v>
        <stp/>
        <stp>BDP|3248899611316761621</stp>
        <tr r="D254" s="2"/>
      </tp>
      <tp t="s">
        <v>#N/A Requesting Data...2641948065</v>
        <stp/>
        <stp>BDP|8190649502931033587</stp>
        <tr r="N17" s="1"/>
        <tr r="L109" s="2"/>
      </tp>
      <tp t="s">
        <v>#N/A N/A</v>
        <stp/>
        <stp>BDP|7364794667419473561</stp>
        <tr r="N120" s="2"/>
      </tp>
      <tp t="s">
        <v>#N/A N/A</v>
        <stp/>
        <stp>BDP|4999779990519754963</stp>
        <tr r="D245" s="2"/>
      </tp>
      <tp t="s">
        <v>#N/A Requesting Data...4024901272</v>
        <stp/>
        <stp>BDP|6930709017682627878</stp>
        <tr r="M28" s="1"/>
        <tr r="K192" s="2"/>
      </tp>
      <tp t="s">
        <v>#N/A N/A</v>
        <stp/>
        <stp>BDP|1734702678563699856</stp>
        <tr r="H13" s="2"/>
      </tp>
      <tp t="s">
        <v>#N/A N/A</v>
        <stp/>
        <stp>BDP|7412664548578426728</stp>
        <tr r="K194" s="2"/>
      </tp>
      <tp t="s">
        <v>#N/A N/A</v>
        <stp/>
        <stp>BDP|2111104386204384583</stp>
        <tr r="E147" s="2"/>
      </tp>
      <tp t="s">
        <v>#N/A N/A</v>
        <stp/>
        <stp>BDP|2913918309268981943</stp>
        <tr r="K41" s="2"/>
      </tp>
      <tp t="s">
        <v>#N/A N/A</v>
        <stp/>
        <stp>BDP|3200301241547639997</stp>
        <tr r="L263" s="2"/>
      </tp>
      <tp t="s">
        <v>#N/A N/A</v>
        <stp/>
        <stp>BDP|9913950190450677367</stp>
        <tr r="I68" s="2"/>
      </tp>
      <tp t="s">
        <v>#N/A N/A</v>
        <stp/>
        <stp>BDP|5802913156460170324</stp>
        <tr r="K62" s="2"/>
      </tp>
      <tp t="s">
        <v>#N/A N/A</v>
        <stp/>
        <stp>BDP|5443500282016283488</stp>
        <tr r="J57" s="2"/>
      </tp>
      <tp t="s">
        <v>#N/A Requesting Data...3903675600</v>
        <stp/>
        <stp>BDP|6058966564692904169</stp>
        <tr r="L30" s="1"/>
        <tr r="J197" s="2"/>
      </tp>
      <tp t="s">
        <v>#N/A N/A</v>
        <stp/>
        <stp>BDP|5751894727372251762</stp>
        <tr r="F125" s="2"/>
      </tp>
      <tp t="s">
        <v>#N/A N/A</v>
        <stp/>
        <stp>BDP|8673005445456905071</stp>
        <tr r="G228" s="2"/>
      </tp>
      <tp t="s">
        <v>#N/A N/A</v>
        <stp/>
        <stp>BDP|9890776820963062526</stp>
        <tr r="M106" s="2"/>
      </tp>
      <tp t="s">
        <v>#N/A N/A</v>
        <stp/>
        <stp>BDP|9065316827297580517</stp>
        <tr r="E247" s="2"/>
      </tp>
      <tp t="s">
        <v>#N/A Requesting Data...3967690194</v>
        <stp/>
        <stp>BDP|5383179605267062938</stp>
        <tr r="P11" s="1"/>
        <tr r="N78" s="2"/>
      </tp>
      <tp t="s">
        <v>#N/A N/A</v>
        <stp/>
        <stp>BDP|3688989391790993941</stp>
        <tr r="L302" s="2"/>
      </tp>
      <tp t="s">
        <v>#N/A N/A</v>
        <stp/>
        <stp>BDP|9677965193887721468</stp>
        <tr r="N258" s="2"/>
      </tp>
      <tp t="s">
        <v>#N/A N/A</v>
        <stp/>
        <stp>BDP|5232076889166676186</stp>
        <tr r="D301" s="2"/>
      </tp>
      <tp t="s">
        <v>#N/A N/A</v>
        <stp/>
        <stp>BDP|7552747609903305988</stp>
        <tr r="I307" s="2"/>
      </tp>
      <tp t="s">
        <v>#N/A N/A</v>
        <stp/>
        <stp>BDP|4180948402577351072</stp>
        <tr r="J205" s="2"/>
      </tp>
      <tp t="s">
        <v>#N/A N/A</v>
        <stp/>
        <stp>BDP|4185276043189194174</stp>
        <tr r="D80" s="2"/>
      </tp>
      <tp t="s">
        <v>#N/A N/A</v>
        <stp/>
        <stp>BDP|5635112885983850598</stp>
        <tr r="M273" s="2"/>
      </tp>
      <tp t="s">
        <v>#N/A N/A</v>
        <stp/>
        <stp>BDP|5662165261311104909</stp>
        <tr r="C55" s="2"/>
      </tp>
      <tp t="s">
        <v>#N/A N/A</v>
        <stp/>
        <stp>BDP|2068465639649889674</stp>
        <tr r="J13" s="2"/>
      </tp>
      <tp t="s">
        <v>#N/A N/A</v>
        <stp/>
        <stp>BDP|8061209819756950706</stp>
        <tr r="H116" s="2"/>
      </tp>
      <tp t="s">
        <v>#N/A N/A</v>
        <stp/>
        <stp>BDP|8891512553045847725</stp>
        <tr r="M246" s="2"/>
      </tp>
      <tp t="s">
        <v>#N/A N/A</v>
        <stp/>
        <stp>BDP|4050307933176582864</stp>
        <tr r="K199" s="2"/>
      </tp>
      <tp t="s">
        <v>#N/A Requesting Data...2466864874</v>
        <stp/>
        <stp>BDP|5462968674221432021</stp>
        <tr r="J32" s="1"/>
        <tr r="H204" s="2"/>
      </tp>
      <tp t="s">
        <v>#N/A N/A</v>
        <stp/>
        <stp>BDP|3124114995312438317</stp>
        <tr r="G50" s="2"/>
      </tp>
      <tp t="s">
        <v>#N/A N/A</v>
        <stp/>
        <stp>BDP|9226165027512355205</stp>
        <tr r="H10" s="2"/>
      </tp>
      <tp t="s">
        <v>#N/A N/A</v>
        <stp/>
        <stp>BDP|4194244440590561816</stp>
        <tr r="H112" s="2"/>
      </tp>
      <tp t="s">
        <v>#N/A N/A</v>
        <stp/>
        <stp>BDP|6591531266208155700</stp>
        <tr r="N9" s="2"/>
      </tp>
      <tp t="s">
        <v>#N/A N/A</v>
        <stp/>
        <stp>BDP|8603693072392438182</stp>
        <tr r="G98" s="2"/>
      </tp>
      <tp t="s">
        <v>#N/A N/A</v>
        <stp/>
        <stp>BDP|3370533788774871016</stp>
        <tr r="H313" s="2"/>
      </tp>
      <tp t="s">
        <v>#N/A N/A</v>
        <stp/>
        <stp>BDP|6317136835668746630</stp>
        <tr r="I106" s="2"/>
      </tp>
      <tp t="s">
        <v>#N/A N/A</v>
        <stp/>
        <stp>BDP|3287756706929557754</stp>
        <tr r="J97" s="2"/>
      </tp>
      <tp t="s">
        <v>#N/A N/A</v>
        <stp/>
        <stp>BDP|1788881929295709472</stp>
        <tr r="N312" s="2"/>
      </tp>
      <tp t="s">
        <v>#N/A Requesting Data...2624902325</v>
        <stp/>
        <stp>BDP|7610567952424371978</stp>
        <tr r="H36" s="1"/>
        <tr r="F260" s="2"/>
      </tp>
      <tp t="s">
        <v>#N/A N/A</v>
        <stp/>
        <stp>BDP|1798854444580715776</stp>
        <tr r="L207" s="2"/>
      </tp>
      <tp t="s">
        <v>#N/A N/A</v>
        <stp/>
        <stp>BDP|2426697278531210814</stp>
        <tr r="I154" s="2"/>
      </tp>
      <tp t="s">
        <v>#N/A N/A</v>
        <stp/>
        <stp>BDP|2879476018558971584</stp>
        <tr r="K17" s="2"/>
      </tp>
      <tp t="s">
        <v>#N/A Requesting Data...3842122693</v>
        <stp/>
        <stp>BDP|8624309870793529558</stp>
        <tr r="O11" s="1"/>
        <tr r="M78" s="2"/>
      </tp>
      <tp t="s">
        <v>#N/A N/A</v>
        <stp/>
        <stp>BDP|1795733511768342512</stp>
        <tr r="J273" s="2"/>
      </tp>
      <tp t="s">
        <v>#N/A N/A</v>
        <stp/>
        <stp>BDP|2407570741069422013</stp>
        <tr r="J220" s="2"/>
      </tp>
      <tp t="s">
        <v>#N/A N/A</v>
        <stp/>
        <stp>BDP|4745369001898678513</stp>
        <tr r="G292" s="2"/>
      </tp>
      <tp t="s">
        <v>#N/A N/A</v>
        <stp/>
        <stp>BDP|6766302383303748440</stp>
        <tr r="C6" s="2"/>
      </tp>
      <tp t="s">
        <v>#N/A N/A</v>
        <stp/>
        <stp>BDP|8014651733661503642</stp>
        <tr r="F124" s="2"/>
      </tp>
      <tp t="s">
        <v>#N/A N/A</v>
        <stp/>
        <stp>BDP|6411779445938541779</stp>
        <tr r="J179" s="2"/>
      </tp>
      <tp t="s">
        <v>#N/A N/A</v>
        <stp/>
        <stp>BDP|3967270634710774899</stp>
        <tr r="F33" s="2"/>
      </tp>
      <tp t="s">
        <v>#N/A N/A</v>
        <stp/>
        <stp>BDP|8340150432330116018</stp>
        <tr r="J65" s="2"/>
      </tp>
      <tp t="s">
        <v>#N/A N/A</v>
        <stp/>
        <stp>BDP|9533492472521236187</stp>
        <tr r="D242" s="2"/>
      </tp>
      <tp t="s">
        <v>#N/A N/A</v>
        <stp/>
        <stp>BDP|8725625767060042261</stp>
        <tr r="F273" s="2"/>
      </tp>
      <tp t="s">
        <v>#N/A N/A</v>
        <stp/>
        <stp>BDP|3123927466752133403</stp>
        <tr r="M245" s="2"/>
      </tp>
      <tp t="s">
        <v>#N/A N/A</v>
        <stp/>
        <stp>BDP|7065415646068748545</stp>
        <tr r="C100" s="2"/>
      </tp>
      <tp t="s">
        <v>#N/A N/A</v>
        <stp/>
        <stp>BDP|1617866075591077510</stp>
        <tr r="E55" s="2"/>
      </tp>
      <tp t="s">
        <v>#N/A N/A</v>
        <stp/>
        <stp>BDP|7213857614067250357</stp>
        <tr r="D214" s="2"/>
      </tp>
      <tp t="s">
        <v>#N/A N/A</v>
        <stp/>
        <stp>BDP|3893546976062809968</stp>
        <tr r="K75" s="2"/>
      </tp>
      <tp t="s">
        <v>#N/A N/A</v>
        <stp/>
        <stp>BDP|6418074517019304432</stp>
        <tr r="G299" s="2"/>
      </tp>
      <tp t="s">
        <v>#N/A N/A</v>
        <stp/>
        <stp>BDP|2576022383301480157</stp>
        <tr r="E277" s="2"/>
      </tp>
      <tp t="s">
        <v>#N/A N/A</v>
        <stp/>
        <stp>BDP|3571828513672929282</stp>
        <tr r="F270" s="2"/>
      </tp>
      <tp t="s">
        <v>#N/A Requesting Data...3043809251</v>
        <stp/>
        <stp>BDP|9452141595912967993</stp>
        <tr r="L13" s="1"/>
        <tr r="J86" s="2"/>
      </tp>
      <tp t="s">
        <v>#N/A N/A</v>
        <stp/>
        <stp>BDP|5718115412398099714</stp>
        <tr r="G281" s="2"/>
      </tp>
      <tp t="s">
        <v>#N/A Requesting Data...2791374597</v>
        <stp/>
        <stp>BDP|5354935015882839586</stp>
        <tr r="G10" s="1"/>
        <tr r="E74" s="2"/>
      </tp>
      <tp t="s">
        <v>#N/A N/A</v>
        <stp/>
        <stp>BDP|8395745654279429923</stp>
        <tr r="F56" s="2"/>
      </tp>
      <tp t="s">
        <v>#N/A N/A</v>
        <stp/>
        <stp>BDP|4994467164589673583</stp>
        <tr r="L122" s="2"/>
      </tp>
      <tp t="s">
        <v>#N/A N/A</v>
        <stp/>
        <stp>BDP|3774460666158637344</stp>
        <tr r="C262" s="2"/>
      </tp>
      <tp t="s">
        <v>#N/A N/A</v>
        <stp/>
        <stp>BDP|5625036346212727914</stp>
        <tr r="I126" s="2"/>
      </tp>
      <tp t="s">
        <v>#N/A N/A</v>
        <stp/>
        <stp>BDP|5492904311011791677</stp>
        <tr r="D227" s="2"/>
      </tp>
      <tp t="s">
        <v>#N/A Requesting Data...3928874028</v>
        <stp/>
        <stp>BDP|1066872774990289441</stp>
        <tr r="J9" s="1"/>
        <tr r="H42" s="2"/>
      </tp>
      <tp t="s">
        <v>#N/A N/A</v>
        <stp/>
        <stp>BDP|5726947789596850871</stp>
        <tr r="M201" s="2"/>
      </tp>
      <tp t="s">
        <v>#N/A N/A</v>
        <stp/>
        <stp>BDP|8141137977935942067</stp>
        <tr r="D262" s="2"/>
      </tp>
      <tp t="s">
        <v>#N/A N/A</v>
        <stp/>
        <stp>BDP|3069507640271991831</stp>
        <tr r="D49" s="2"/>
      </tp>
      <tp t="s">
        <v>#N/A N/A</v>
        <stp/>
        <stp>BDP|3202127492303134398</stp>
        <tr r="J313" s="2"/>
      </tp>
      <tp t="s">
        <v>#N/A N/A</v>
        <stp/>
        <stp>BDP|8609780184419681563</stp>
        <tr r="C54" s="2"/>
      </tp>
      <tp t="s">
        <v>#N/A N/A</v>
        <stp/>
        <stp>BDP|4392140709678064648</stp>
        <tr r="K13" s="2"/>
      </tp>
      <tp t="s">
        <v>#N/A N/A</v>
        <stp/>
        <stp>BDP|9620883591304400711</stp>
        <tr r="L94" s="2"/>
      </tp>
      <tp t="s">
        <v>#N/A N/A</v>
        <stp/>
        <stp>BDP|7771271785955786385</stp>
        <tr r="J244" s="2"/>
      </tp>
      <tp t="s">
        <v>#N/A N/A</v>
        <stp/>
        <stp>BDP|1592502877091819908</stp>
        <tr r="C160" s="2"/>
      </tp>
      <tp t="s">
        <v>#N/A N/A</v>
        <stp/>
        <stp>BDP|7851236261289471140</stp>
        <tr r="M156" s="2"/>
      </tp>
      <tp t="s">
        <v>#N/A N/A</v>
        <stp/>
        <stp>BDP|5245887870897419653</stp>
        <tr r="C135" s="2"/>
      </tp>
      <tp t="s">
        <v>#N/A N/A</v>
        <stp/>
        <stp>BDP|2275650769871338867</stp>
        <tr r="N65" s="2"/>
      </tp>
      <tp t="s">
        <v>#N/A N/A</v>
        <stp/>
        <stp>BDP|1980612809879896521</stp>
        <tr r="D81" s="2"/>
      </tp>
      <tp t="s">
        <v>#N/A Requesting Data...2194484280</v>
        <stp/>
        <stp>BDP|9621573888219582678</stp>
        <tr r="M9" s="1"/>
        <tr r="K42" s="2"/>
      </tp>
      <tp t="s">
        <v>#N/A N/A</v>
        <stp/>
        <stp>BDP|6706433791225913572</stp>
        <tr r="G103" s="2"/>
      </tp>
      <tp t="s">
        <v>#N/A N/A</v>
        <stp/>
        <stp>BDP|5823139894640664629</stp>
        <tr r="I189" s="2"/>
      </tp>
      <tp t="s">
        <v>#N/A N/A</v>
        <stp/>
        <stp>BDP|6494099896315573152</stp>
        <tr r="G134" s="2"/>
      </tp>
      <tp t="s">
        <v>#N/A Requesting Data...3271371509</v>
        <stp/>
        <stp>BDP|9492851967658807461</stp>
        <tr r="L39" s="1"/>
        <tr r="J282" s="2"/>
      </tp>
      <tp t="s">
        <v>#N/A N/A</v>
        <stp/>
        <stp>BDP|6682696290240407232</stp>
        <tr r="D236" s="2"/>
      </tp>
      <tp t="s">
        <v>#N/A N/A</v>
        <stp/>
        <stp>BDP|9830247707780342002</stp>
        <tr r="I251" s="2"/>
      </tp>
      <tp t="s">
        <v>#N/A N/A</v>
        <stp/>
        <stp>BDP|7910247870078533102</stp>
        <tr r="K247" s="2"/>
      </tp>
      <tp t="s">
        <v>#N/A N/A</v>
        <stp/>
        <stp>BDP|4395278477929374394</stp>
        <tr r="M220" s="2"/>
      </tp>
      <tp t="s">
        <v>#N/A N/A</v>
        <stp/>
        <stp>BDP|1851444542253285951</stp>
        <tr r="E65" s="2"/>
      </tp>
      <tp t="s">
        <v>#N/A N/A</v>
        <stp/>
        <stp>BDP|3320584987963754620</stp>
        <tr r="C240" s="2"/>
      </tp>
      <tp t="s">
        <v>#N/A N/A</v>
        <stp/>
        <stp>BDP|7673388095753718554</stp>
        <tr r="C8" s="2"/>
      </tp>
      <tp t="s">
        <v>#N/A N/A</v>
        <stp/>
        <stp>BDP|3734800851817601294</stp>
        <tr r="N227" s="2"/>
      </tp>
      <tp t="s">
        <v>#N/A N/A</v>
        <stp/>
        <stp>BDP|9415799776042769051</stp>
        <tr r="F274" s="2"/>
      </tp>
      <tp t="s">
        <v>#N/A N/A</v>
        <stp/>
        <stp>BDP|3598466385845858172</stp>
        <tr r="N106" s="2"/>
      </tp>
      <tp t="s">
        <v>#N/A N/A</v>
        <stp/>
        <stp>BDP|8924360201781485139</stp>
        <tr r="E235" s="2"/>
      </tp>
      <tp t="s">
        <v>#N/A N/A</v>
        <stp/>
        <stp>BDP|4135981033341363401</stp>
        <tr r="F304" s="2"/>
      </tp>
      <tp t="s">
        <v>#N/A N/A</v>
        <stp/>
        <stp>BDP|2809692616628960609</stp>
        <tr r="F64" s="2"/>
      </tp>
      <tp t="s">
        <v>#N/A N/A</v>
        <stp/>
        <stp>BDP|9977540736355606139</stp>
        <tr r="F209" s="2"/>
      </tp>
      <tp t="s">
        <v>#N/A N/A</v>
        <stp/>
        <stp>BDP|8713626283645976818</stp>
        <tr r="D127" s="2"/>
      </tp>
      <tp t="s">
        <v>#N/A N/A</v>
        <stp/>
        <stp>BDP|9891917217293577955</stp>
        <tr r="D75" s="2"/>
      </tp>
      <tp t="s">
        <v>#N/A N/A</v>
        <stp/>
        <stp>BDP|8069780752234713534</stp>
        <tr r="E12" s="2"/>
      </tp>
      <tp t="s">
        <v>#N/A N/A</v>
        <stp/>
        <stp>BDP|1475178975308953418</stp>
        <tr r="K310" s="2"/>
      </tp>
      <tp t="s">
        <v>#N/A N/A</v>
        <stp/>
        <stp>BDP|4452136450288912318</stp>
        <tr r="M281" s="2"/>
      </tp>
      <tp t="s">
        <v>#N/A N/A</v>
        <stp/>
        <stp>BDP|6646173103075534985</stp>
        <tr r="G77" s="2"/>
      </tp>
      <tp t="s">
        <v>#N/A N/A</v>
        <stp/>
        <stp>BDP|2047682061639185078</stp>
        <tr r="N242" s="2"/>
      </tp>
      <tp t="s">
        <v>#N/A N/A</v>
        <stp/>
        <stp>BDP|5610221075062757995</stp>
        <tr r="F301" s="2"/>
      </tp>
      <tp t="s">
        <v>#N/A N/A</v>
        <stp/>
        <stp>BDP|8543097093142655867</stp>
        <tr r="N209" s="2"/>
      </tp>
      <tp t="s">
        <v>#N/A N/A</v>
        <stp/>
        <stp>BDP|9750601126075777394</stp>
        <tr r="K52" s="2"/>
      </tp>
      <tp t="s">
        <v>#N/A N/A</v>
        <stp/>
        <stp>BDP|4329366638468774750</stp>
        <tr r="G264" s="2"/>
      </tp>
      <tp t="s">
        <v>#N/A N/A</v>
        <stp/>
        <stp>BDP|7257273638919137404</stp>
        <tr r="G304" s="2"/>
      </tp>
      <tp t="s">
        <v>#N/A N/A</v>
        <stp/>
        <stp>BDP|6167138991490943563</stp>
        <tr r="M125" s="2"/>
      </tp>
      <tp t="s">
        <v>#N/A N/A</v>
        <stp/>
        <stp>BDP|3984657372820095920</stp>
        <tr r="M313" s="2"/>
      </tp>
      <tp t="s">
        <v>#N/A Requesting Data...2952538610</v>
        <stp/>
        <stp>BDP|9039609197205832835</stp>
        <tr r="J24" s="1"/>
        <tr r="H157" s="2"/>
      </tp>
      <tp t="s">
        <v>#N/A N/A</v>
        <stp/>
        <stp>BDP|8664094253207493149</stp>
        <tr r="G209" s="2"/>
      </tp>
      <tp t="s">
        <v>#N/A N/A</v>
        <stp/>
        <stp>BDP|9981749417685752110</stp>
        <tr r="F194" s="2"/>
      </tp>
      <tp t="s">
        <v>#N/A N/A</v>
        <stp/>
        <stp>BDP|3146835570337770090</stp>
        <tr r="E120" s="2"/>
      </tp>
      <tp t="s">
        <v>#N/A N/A</v>
        <stp/>
        <stp>BDP|9988369142503204632</stp>
        <tr r="F6" s="2"/>
      </tp>
      <tp t="s">
        <v>#N/A N/A</v>
        <stp/>
        <stp>BDP|3589704409687309823</stp>
        <tr r="M118" s="2"/>
      </tp>
      <tp t="s">
        <v>#N/A N/A</v>
        <stp/>
        <stp>BDP|9289152309116756547</stp>
        <tr r="H27" s="2"/>
      </tp>
      <tp t="s">
        <v>#N/A N/A</v>
        <stp/>
        <stp>BDP|6920902931971101641</stp>
        <tr r="I313" s="2"/>
      </tp>
      <tp t="s">
        <v>#N/A N/A</v>
        <stp/>
        <stp>BDP|7999730342749133643</stp>
        <tr r="I175" s="2"/>
      </tp>
      <tp t="s">
        <v>#N/A N/A</v>
        <stp/>
        <stp>BDP|8031653198165098906</stp>
        <tr r="H293" s="2"/>
      </tp>
      <tp t="s">
        <v>#N/A N/A</v>
        <stp/>
        <stp>BDP|3825964362656258130</stp>
        <tr r="I63" s="2"/>
      </tp>
      <tp t="s">
        <v>#N/A N/A</v>
        <stp/>
        <stp>BDP|1079631806504940813</stp>
        <tr r="N173" s="2"/>
      </tp>
      <tp t="s">
        <v>#N/A N/A</v>
        <stp/>
        <stp>BDP|5547974143075553692</stp>
        <tr r="L114" s="2"/>
      </tp>
      <tp t="s">
        <v>#N/A N/A</v>
        <stp/>
        <stp>BDP|7672868244231110177</stp>
        <tr r="C300" s="2"/>
      </tp>
      <tp t="s">
        <v>#N/A N/A</v>
        <stp/>
        <stp>BDP|8852424223892844732</stp>
        <tr r="I56" s="2"/>
      </tp>
      <tp t="s">
        <v>#N/A N/A</v>
        <stp/>
        <stp>BDP|5278570667204133917</stp>
        <tr r="D141" s="2"/>
      </tp>
      <tp t="s">
        <v>#N/A N/A</v>
        <stp/>
        <stp>BDP|4831850435576932230</stp>
        <tr r="I84" s="2"/>
      </tp>
      <tp t="s">
        <v>#N/A N/A</v>
        <stp/>
        <stp>BDP|3504091571587828873</stp>
        <tr r="K274" s="2"/>
      </tp>
      <tp t="s">
        <v>#N/A Requesting Data...3025804664</v>
        <stp/>
        <stp>BDP|6147231437208357445</stp>
        <tr r="P30" s="1"/>
        <tr r="N197" s="2"/>
      </tp>
      <tp t="s">
        <v>#N/A N/A</v>
        <stp/>
        <stp>BDP|5602997759985580711</stp>
        <tr r="D164" s="2"/>
      </tp>
      <tp t="s">
        <v>#N/A N/A</v>
        <stp/>
        <stp>BDP|9412069723225458578</stp>
        <tr r="E238" s="2"/>
      </tp>
      <tp t="s">
        <v>#N/A N/A</v>
        <stp/>
        <stp>BDP|4892748687004868407</stp>
        <tr r="D125" s="2"/>
      </tp>
      <tp t="s">
        <v>#N/A Requesting Data...2979879090</v>
        <stp/>
        <stp>BDP|7670802464767295539</stp>
        <tr r="G4" s="1"/>
        <tr r="E21" s="2"/>
      </tp>
      <tp t="s">
        <v>#N/A Requesting Data...3630770738</v>
        <stp/>
        <stp>BDP|9751441675545154443</stp>
        <tr r="N3" s="1"/>
        <tr r="L20" s="2"/>
      </tp>
      <tp t="s">
        <v>#N/A N/A</v>
        <stp/>
        <stp>BDP|8760641285715068851</stp>
        <tr r="J296" s="2"/>
      </tp>
      <tp t="s">
        <v>#N/A N/A</v>
        <stp/>
        <stp>BDP|1461306531893170979</stp>
        <tr r="G136" s="2"/>
      </tp>
      <tp t="s">
        <v>#N/A N/A</v>
        <stp/>
        <stp>BDP|8159238807800793127</stp>
        <tr r="E150" s="2"/>
      </tp>
      <tp t="s">
        <v>#N/A N/A</v>
        <stp/>
        <stp>BDP|8709162005924116655</stp>
        <tr r="E154" s="2"/>
      </tp>
      <tp t="s">
        <v>#N/A N/A</v>
        <stp/>
        <stp>BDP|7897955128231364666</stp>
        <tr r="E54" s="2"/>
      </tp>
      <tp t="s">
        <v>#N/A N/A</v>
        <stp/>
        <stp>BDP|9526478806460471608</stp>
        <tr r="J33" s="2"/>
      </tp>
      <tp t="s">
        <v>#N/A N/A</v>
        <stp/>
        <stp>BDP|1529594195434031291</stp>
        <tr r="I96" s="2"/>
      </tp>
      <tp t="s">
        <v>#N/A N/A</v>
        <stp/>
        <stp>BDP|9430301498779526195</stp>
        <tr r="N117" s="2"/>
      </tp>
      <tp t="s">
        <v>#N/A N/A</v>
        <stp/>
        <stp>BDP|8186828583501936293</stp>
        <tr r="E139" s="2"/>
      </tp>
      <tp t="s">
        <v>#N/A N/A</v>
        <stp/>
        <stp>BDP|7575332979381634992</stp>
        <tr r="M54" s="2"/>
      </tp>
      <tp t="s">
        <v>#N/A N/A</v>
        <stp/>
        <stp>BDP|8377664112625345147</stp>
        <tr r="E73" s="2"/>
      </tp>
      <tp t="s">
        <v>#N/A N/A</v>
        <stp/>
        <stp>BDP|8916809949196923982</stp>
        <tr r="I141" s="2"/>
      </tp>
      <tp t="s">
        <v>#N/A N/A</v>
        <stp/>
        <stp>BDP|3160195261588800705</stp>
        <tr r="K277" s="2"/>
      </tp>
      <tp t="s">
        <v>#N/A N/A</v>
        <stp/>
        <stp>BDP|6406964381795076926</stp>
        <tr r="G219" s="2"/>
      </tp>
      <tp t="s">
        <v>#N/A N/A</v>
        <stp/>
        <stp>BDP|8155045076964092058</stp>
        <tr r="N66" s="2"/>
      </tp>
      <tp t="s">
        <v>#N/A N/A</v>
        <stp/>
        <stp>BDP|3362617103149343745</stp>
        <tr r="J53" s="2"/>
      </tp>
      <tp t="s">
        <v>#N/A N/A</v>
        <stp/>
        <stp>BDP|6017966832052655542</stp>
        <tr r="F150" s="2"/>
      </tp>
      <tp t="s">
        <v>#N/A N/A</v>
        <stp/>
        <stp>BDP|1933390223212447917</stp>
        <tr r="I135" s="2"/>
      </tp>
      <tp t="s">
        <v>#N/A N/A</v>
        <stp/>
        <stp>BDP|8149959507639794325</stp>
        <tr r="N283" s="2"/>
      </tp>
      <tp t="s">
        <v>#N/A N/A</v>
        <stp/>
        <stp>BDP|5577927413094666240</stp>
        <tr r="H230" s="2"/>
      </tp>
      <tp t="s">
        <v>#N/A N/A</v>
        <stp/>
        <stp>BDP|8793730203845981192</stp>
        <tr r="H290" s="2"/>
      </tp>
      <tp t="s">
        <v>#N/A Requesting Data...3912333346</v>
        <stp/>
        <stp>BDP|7962915832230837658</stp>
        <tr r="K27" s="1"/>
        <tr r="I181" s="2"/>
      </tp>
      <tp t="s">
        <v>#N/A N/A</v>
        <stp/>
        <stp>BDP|9411271578961800644</stp>
        <tr r="F236" s="2"/>
      </tp>
      <tp t="s">
        <v>#N/A N/A</v>
        <stp/>
        <stp>BDP|1797414483106268005</stp>
        <tr r="F235" s="2"/>
      </tp>
      <tp t="s">
        <v>#N/A N/A</v>
        <stp/>
        <stp>BDP|6145037585591223427</stp>
        <tr r="N201" s="2"/>
      </tp>
      <tp t="s">
        <v>#N/A N/A</v>
        <stp/>
        <stp>BDP|9269921883755661621</stp>
        <tr r="J272" s="2"/>
      </tp>
      <tp t="s">
        <v>#N/A N/A</v>
        <stp/>
        <stp>BDP|9265879833458243102</stp>
        <tr r="D287" s="2"/>
      </tp>
      <tp t="s">
        <v>#N/A Requesting Data...2910542958</v>
        <stp/>
        <stp>BDP|5364362764832302960</stp>
        <tr r="M17" s="1"/>
        <tr r="K109" s="2"/>
      </tp>
      <tp t="s">
        <v>#N/A N/A</v>
        <stp/>
        <stp>BDP|3218848364364657203</stp>
        <tr r="M238" s="2"/>
      </tp>
      <tp t="s">
        <v>#N/A Requesting Data...3138702650</v>
        <stp/>
        <stp>BDP|2425308581865521746</stp>
        <tr r="H11" s="1"/>
        <tr r="F78" s="2"/>
      </tp>
      <tp t="s">
        <v>#N/A N/A</v>
        <stp/>
        <stp>BDP|2616352114102099923</stp>
        <tr r="N275" s="2"/>
      </tp>
      <tp t="s">
        <v>#N/A Requesting Data...2277459394</v>
        <stp/>
        <stp>BDP|4216002853772675828</stp>
        <tr r="P13" s="1"/>
        <tr r="N86" s="2"/>
      </tp>
      <tp t="s">
        <v>#N/A N/A</v>
        <stp/>
        <stp>BDP|2292774583112313403</stp>
        <tr r="L14" s="2"/>
      </tp>
      <tp t="s">
        <v>#N/A N/A</v>
        <stp/>
        <stp>BDP|4048726473496600921</stp>
        <tr r="M295" s="2"/>
      </tp>
      <tp t="s">
        <v>#N/A N/A</v>
        <stp/>
        <stp>BDP|7528360064690329911</stp>
        <tr r="C127" s="2"/>
      </tp>
      <tp t="s">
        <v>#N/A Requesting Data...4005414687</v>
        <stp/>
        <stp>BDP|1516467181077732103</stp>
        <tr r="M39" s="1"/>
        <tr r="K282" s="2"/>
      </tp>
      <tp t="s">
        <v>#N/A N/A</v>
        <stp/>
        <stp>BDP|5243489248241055083</stp>
        <tr r="J105" s="2"/>
      </tp>
      <tp t="s">
        <v>#N/A N/A</v>
        <stp/>
        <stp>BDP|5484414594474861835</stp>
        <tr r="L279" s="2"/>
      </tp>
      <tp t="s">
        <v>#N/A Requesting Data...2577674945</v>
        <stp/>
        <stp>BDP|2358660118252690313</stp>
        <tr r="N29" s="1"/>
        <tr r="L193" s="2"/>
      </tp>
      <tp t="s">
        <v>#N/A N/A</v>
        <stp/>
        <stp>BDP|4866763417832483479</stp>
        <tr r="N311" s="2"/>
      </tp>
      <tp t="s">
        <v>#N/A N/A</v>
        <stp/>
        <stp>BDP|9789396070700163953</stp>
        <tr r="D53" s="2"/>
      </tp>
      <tp t="s">
        <v>#N/A N/A</v>
        <stp/>
        <stp>BDP|2929923196890371641</stp>
        <tr r="K189" s="2"/>
      </tp>
      <tp t="s">
        <v>#N/A N/A</v>
        <stp/>
        <stp>BDP|5501192104471132134</stp>
        <tr r="C186" s="2"/>
      </tp>
      <tp t="s">
        <v>#N/A N/A</v>
        <stp/>
        <stp>BDP|1988218046200329371</stp>
        <tr r="L139" s="2"/>
      </tp>
      <tp t="s">
        <v>#N/A N/A</v>
        <stp/>
        <stp>BDP|5199187233956841582</stp>
        <tr r="M4" s="2"/>
      </tp>
      <tp t="s">
        <v>#N/A Requesting Data...4019262430</v>
        <stp/>
        <stp>BDP|9265422688873759259</stp>
        <tr r="P17" s="1"/>
        <tr r="N109" s="2"/>
      </tp>
      <tp t="s">
        <v>#N/A N/A</v>
        <stp/>
        <stp>BDP|8504528839653596917</stp>
        <tr r="C258" s="2"/>
      </tp>
      <tp t="s">
        <v>#N/A N/A</v>
        <stp/>
        <stp>BDP|5563176293189902025</stp>
        <tr r="I25" s="2"/>
      </tp>
      <tp t="s">
        <v>#N/A N/A</v>
        <stp/>
        <stp>BDP|9059309089621250719</stp>
        <tr r="J90" s="2"/>
      </tp>
      <tp t="s">
        <v>#N/A N/A</v>
        <stp/>
        <stp>BDP|3462349630370279792</stp>
        <tr r="E310" s="2"/>
      </tp>
      <tp t="s">
        <v>#N/A N/A</v>
        <stp/>
        <stp>BDP|6405662414896912346</stp>
        <tr r="N113" s="2"/>
      </tp>
      <tp t="s">
        <v>#N/A N/A</v>
        <stp/>
        <stp>BDP|1477879699990704466</stp>
        <tr r="H228" s="2"/>
      </tp>
      <tp t="s">
        <v>#N/A N/A</v>
        <stp/>
        <stp>BDP|3928361253684359541</stp>
        <tr r="G87" s="2"/>
      </tp>
      <tp t="s">
        <v>#N/A Requesting Data...2549362232</v>
        <stp/>
        <stp>BDP|7906575410594362365</stp>
        <tr r="H33" s="1"/>
        <tr r="F223" s="2"/>
      </tp>
      <tp t="s">
        <v>#N/A N/A</v>
        <stp/>
        <stp>BDP|3969240373140703225</stp>
        <tr r="L295" s="2"/>
      </tp>
      <tp t="s">
        <v>#N/A N/A</v>
        <stp/>
        <stp>BDP|6397881127818123059</stp>
        <tr r="H41" s="2"/>
      </tp>
      <tp t="s">
        <v>#N/A N/A</v>
        <stp/>
        <stp>BDP|1559213049754769726</stp>
        <tr r="G236" s="2"/>
      </tp>
      <tp t="s">
        <v>#N/A N/A</v>
        <stp/>
        <stp>BDP|3924416716512596038</stp>
        <tr r="L271" s="2"/>
      </tp>
      <tp t="s">
        <v>#N/A N/A</v>
        <stp/>
        <stp>BDP|8346604588322304006</stp>
        <tr r="E26" s="2"/>
      </tp>
      <tp t="s">
        <v>#N/A N/A</v>
        <stp/>
        <stp>BDP|1996734310862102130</stp>
        <tr r="N252" s="2"/>
      </tp>
      <tp t="s">
        <v>#N/A N/A</v>
        <stp/>
        <stp>BDP|3891547193379334249</stp>
        <tr r="F89" s="2"/>
      </tp>
      <tp t="s">
        <v>#N/A N/A</v>
        <stp/>
        <stp>BDP|2989237587548487414</stp>
        <tr r="G165" s="2"/>
      </tp>
      <tp t="s">
        <v>#N/A N/A</v>
        <stp/>
        <stp>BDP|6908211533856351514</stp>
        <tr r="I287" s="2"/>
      </tp>
      <tp t="s">
        <v>#N/A N/A</v>
        <stp/>
        <stp>BDP|9653725377124847929</stp>
        <tr r="F214" s="2"/>
      </tp>
      <tp t="s">
        <v>#N/A N/A</v>
        <stp/>
        <stp>BDP|3661940711927397895</stp>
        <tr r="N167" s="2"/>
      </tp>
      <tp t="s">
        <v>#N/A N/A</v>
        <stp/>
        <stp>BDP|4930780909852008519</stp>
        <tr r="H121" s="2"/>
      </tp>
      <tp t="s">
        <v>#N/A N/A</v>
        <stp/>
        <stp>BDP|5308201252400176690</stp>
        <tr r="E229" s="2"/>
      </tp>
      <tp t="s">
        <v>#N/A N/A</v>
        <stp/>
        <stp>BDP|9550939049734361459</stp>
        <tr r="K254" s="2"/>
      </tp>
      <tp t="s">
        <v>#N/A N/A</v>
        <stp/>
        <stp>BDP|1932248311187146149</stp>
        <tr r="I112" s="2"/>
      </tp>
      <tp t="s">
        <v>#N/A N/A</v>
        <stp/>
        <stp>BDP|2212515743433816417</stp>
        <tr r="E196" s="2"/>
      </tp>
      <tp t="s">
        <v>#N/A N/A</v>
        <stp/>
        <stp>BDP|1319059610307914313</stp>
        <tr r="H213" s="2"/>
      </tp>
      <tp t="s">
        <v>#N/A N/A</v>
        <stp/>
        <stp>BDP|8851424878566988952</stp>
        <tr r="N222" s="2"/>
      </tp>
      <tp t="s">
        <v>#N/A N/A</v>
        <stp/>
        <stp>BDP|8952424113479769011</stp>
        <tr r="E287" s="2"/>
      </tp>
      <tp t="s">
        <v>#N/A N/A</v>
        <stp/>
        <stp>BDP|7663311578306877194</stp>
        <tr r="H280" s="2"/>
      </tp>
      <tp t="s">
        <v>#N/A N/A</v>
        <stp/>
        <stp>BDP|5785020943944935115</stp>
        <tr r="L187" s="2"/>
      </tp>
      <tp t="s">
        <v>#N/A N/A</v>
        <stp/>
        <stp>BDP|7094685130431384749</stp>
        <tr r="E199" s="2"/>
      </tp>
      <tp t="s">
        <v>#N/A N/A</v>
        <stp/>
        <stp>BDP|3717423804475990677</stp>
        <tr r="K69" s="2"/>
      </tp>
      <tp t="s">
        <v>#N/A N/A</v>
        <stp/>
        <stp>BDP|2508589571606459270</stp>
        <tr r="L264" s="2"/>
      </tp>
      <tp t="s">
        <v>#N/A N/A</v>
        <stp/>
        <stp>BDP|4109311012801560382</stp>
        <tr r="F173" s="2"/>
      </tp>
      <tp t="s">
        <v>#N/A N/A</v>
        <stp/>
        <stp>BDP|6460843785705955738</stp>
        <tr r="G317" s="2"/>
      </tp>
      <tp t="s">
        <v>#N/A N/A</v>
        <stp/>
        <stp>BDP|9919311542069199347</stp>
        <tr r="K144" s="2"/>
      </tp>
      <tp t="s">
        <v>#N/A N/A</v>
        <stp/>
        <stp>BDP|1800576953306458348</stp>
        <tr r="K65" s="2"/>
      </tp>
      <tp t="s">
        <v>#N/A N/A</v>
        <stp/>
        <stp>BDP|8641754128278510129</stp>
        <tr r="D150" s="2"/>
      </tp>
      <tp t="s">
        <v>#N/A Requesting Data...3073003693</v>
        <stp/>
        <stp>BDP|4712172105994825517</stp>
        <tr r="O6" s="1"/>
        <tr r="M31" s="2"/>
      </tp>
      <tp t="s">
        <v>#N/A N/A</v>
        <stp/>
        <stp>BDP|9644599647334256865</stp>
        <tr r="K309" s="2"/>
      </tp>
      <tp t="s">
        <v>#N/A N/A</v>
        <stp/>
        <stp>BDP|7191195134469380831</stp>
        <tr r="C114" s="2"/>
      </tp>
      <tp t="s">
        <v>#N/A N/A</v>
        <stp/>
        <stp>BDP|1399527418759610839</stp>
        <tr r="I138" s="2"/>
      </tp>
      <tp t="s">
        <v>#N/A Requesting Data...3671039062</v>
        <stp/>
        <stp>BDP|2559714202251950035</stp>
        <tr r="E16" s="1"/>
        <tr r="C95" s="2"/>
      </tp>
      <tp t="s">
        <v>#N/A Requesting Data...3857217787</v>
        <stp/>
        <stp>BDP|2474890065098508015</stp>
        <tr r="G7" s="1"/>
        <tr r="E36" s="2"/>
      </tp>
      <tp t="s">
        <v>#N/A N/A</v>
        <stp/>
        <stp>BDP|1987078631071631754</stp>
        <tr r="C279" s="2"/>
      </tp>
      <tp t="s">
        <v>#N/A N/A</v>
        <stp/>
        <stp>BDP|6987264956245101049</stp>
        <tr r="K239" s="2"/>
      </tp>
      <tp t="s">
        <v>#N/A N/A</v>
        <stp/>
        <stp>BDP|4319378378743097701</stp>
        <tr r="L15" s="2"/>
      </tp>
      <tp t="s">
        <v>#N/A Requesting Data...3257207905</v>
        <stp/>
        <stp>BDP|1601365369664211468</stp>
        <tr r="M14" s="1"/>
        <tr r="K91" s="2"/>
      </tp>
      <tp t="s">
        <v>#N/A N/A</v>
        <stp/>
        <stp>BDP|9162836555647954739</stp>
        <tr r="G185" s="2"/>
      </tp>
      <tp t="s">
        <v>#N/A Requesting Data...3873972016</v>
        <stp/>
        <stp>BDP|1475449128165173642</stp>
        <tr r="P38" s="1"/>
        <tr r="N278" s="2"/>
      </tp>
      <tp t="s">
        <v>#N/A N/A</v>
        <stp/>
        <stp>BDP|2875074332262242726</stp>
        <tr r="J254" s="2"/>
      </tp>
      <tp t="s">
        <v>#N/A N/A</v>
        <stp/>
        <stp>BDP|4423056072563635485</stp>
        <tr r="E77" s="2"/>
      </tp>
      <tp t="s">
        <v>#N/A N/A</v>
        <stp/>
        <stp>BDP|1892680614052200040</stp>
        <tr r="F313" s="2"/>
      </tp>
      <tp t="s">
        <v>#N/A N/A</v>
        <stp/>
        <stp>BDP|9855583483278774868</stp>
        <tr r="L166" s="2"/>
      </tp>
      <tp t="s">
        <v>#N/A Requesting Data...4268947868</v>
        <stp/>
        <stp>BDP|3699311014091453450</stp>
        <tr r="K28" s="1"/>
        <tr r="I192" s="2"/>
      </tp>
      <tp t="s">
        <v>#N/A N/A</v>
        <stp/>
        <stp>BDP|7354073810593643108</stp>
        <tr r="K307" s="2"/>
      </tp>
      <tp t="s">
        <v>#N/A N/A</v>
        <stp/>
        <stp>BDP|2167625482000676855</stp>
        <tr r="E99" s="2"/>
      </tp>
      <tp t="s">
        <v>#N/A Requesting Data...3960043859</v>
        <stp/>
        <stp>BDP|7729735324792438463</stp>
        <tr r="L36" s="1"/>
        <tr r="J260" s="2"/>
      </tp>
      <tp t="s">
        <v>#N/A N/A</v>
        <stp/>
        <stp>BDP|2522276211373239637</stp>
        <tr r="D92" s="2"/>
      </tp>
      <tp t="s">
        <v>#N/A N/A</v>
        <stp/>
        <stp>BDP|1791538071287048070</stp>
        <tr r="I54" s="2"/>
      </tp>
      <tp t="s">
        <v>#N/A N/A</v>
        <stp/>
        <stp>BDP|8205020323827181919</stp>
        <tr r="K92" s="2"/>
      </tp>
      <tp t="s">
        <v>#N/A N/A</v>
        <stp/>
        <stp>BDP|5439482504875255095</stp>
        <tr r="D70" s="2"/>
      </tp>
      <tp t="s">
        <v>#N/A N/A</v>
        <stp/>
        <stp>BDP|4632721136750691476</stp>
        <tr r="F102" s="2"/>
      </tp>
      <tp t="s">
        <v>#N/A Requesting Data...3422443290</v>
        <stp/>
        <stp>BDP|5839145310661783088</stp>
        <tr r="K31" s="1"/>
        <tr r="I200" s="2"/>
      </tp>
      <tp t="s">
        <v>#N/A Requesting Data...3750859565</v>
        <stp/>
        <stp>BDP|5959021679182830495</stp>
        <tr r="I3" s="1"/>
        <tr r="G20" s="2"/>
      </tp>
      <tp t="s">
        <v>#N/A N/A</v>
        <stp/>
        <stp>BDP|9275955786985587976</stp>
        <tr r="E313" s="2"/>
      </tp>
      <tp t="s">
        <v>#N/A N/A</v>
        <stp/>
        <stp>BDP|7557675002530761544</stp>
        <tr r="C211" s="2"/>
      </tp>
      <tp t="s">
        <v>#N/A N/A</v>
        <stp/>
        <stp>BDP|2689788247333351691</stp>
        <tr r="D217" s="2"/>
      </tp>
      <tp t="s">
        <v>#N/A N/A</v>
        <stp/>
        <stp>BDP|2973563460576477380</stp>
        <tr r="F17" s="2"/>
      </tp>
      <tp t="s">
        <v>#N/A N/A</v>
        <stp/>
        <stp>BDP|1711568023890312226</stp>
        <tr r="J145" s="2"/>
      </tp>
      <tp t="s">
        <v>#N/A N/A</v>
        <stp/>
        <stp>BDP|6817490372258785942</stp>
        <tr r="G175" s="2"/>
      </tp>
      <tp t="s">
        <v>#N/A N/A</v>
        <stp/>
        <stp>BDP|7438239585908119138</stp>
        <tr r="F54" s="2"/>
      </tp>
      <tp t="s">
        <v>#N/A N/A</v>
        <stp/>
        <stp>BDP|4130799228520166517</stp>
        <tr r="M71" s="2"/>
      </tp>
      <tp t="s">
        <v>#N/A N/A</v>
        <stp/>
        <stp>BDP|7897454548815223674</stp>
        <tr r="G139" s="2"/>
      </tp>
      <tp t="s">
        <v>#N/A Requesting Data...3293723397</v>
        <stp/>
        <stp>BDP|4339672311856530109</stp>
        <tr r="N18" s="1"/>
        <tr r="L131" s="2"/>
      </tp>
      <tp t="s">
        <v>#N/A N/A</v>
        <stp/>
        <stp>BDP|6035413270412403351</stp>
        <tr r="M162" s="2"/>
      </tp>
      <tp t="s">
        <v>#N/A Requesting Data...2340072226</v>
        <stp/>
        <stp>BDP|5051137071354438365</stp>
        <tr r="L32" s="1"/>
        <tr r="J204" s="2"/>
      </tp>
      <tp t="s">
        <v>#N/A N/A</v>
        <stp/>
        <stp>BDP|3494686829675765629</stp>
        <tr r="G179" s="2"/>
      </tp>
      <tp t="s">
        <v>#N/A N/A</v>
        <stp/>
        <stp>BDP|9622532474547445848</stp>
        <tr r="L247" s="2"/>
      </tp>
      <tp t="s">
        <v>#N/A Requesting Data...4062335465</v>
        <stp/>
        <stp>BDP|3656640050885355101</stp>
        <tr r="N21" s="1"/>
        <tr r="L148" s="2"/>
      </tp>
      <tp t="s">
        <v>#N/A N/A</v>
        <stp/>
        <stp>BDP|6884154025623097299</stp>
        <tr r="D212" s="2"/>
      </tp>
      <tp t="s">
        <v>#N/A N/A</v>
        <stp/>
        <stp>BDP|4412248612731444270</stp>
        <tr r="D138" s="2"/>
      </tp>
      <tp t="s">
        <v>#N/A Requesting Data...3067229567</v>
        <stp/>
        <stp>BDP|4222674328506585296</stp>
        <tr r="K29" s="1"/>
        <tr r="I193" s="2"/>
      </tp>
      <tp t="s">
        <v>#N/A N/A</v>
        <stp/>
        <stp>BDP|8976322599110333607</stp>
        <tr r="H133" s="2"/>
      </tp>
      <tp t="s">
        <v>#N/A N/A</v>
        <stp/>
        <stp>BDP|1749111403631411506</stp>
        <tr r="N196" s="2"/>
      </tp>
      <tp t="s">
        <v>#N/A N/A</v>
        <stp/>
        <stp>BDP|4560499929313639528</stp>
        <tr r="I308" s="2"/>
      </tp>
      <tp t="s">
        <v>#N/A N/A</v>
        <stp/>
        <stp>BDP|6982880071944764961</stp>
        <tr r="K221" s="2"/>
      </tp>
      <tp t="s">
        <v>#N/A N/A</v>
        <stp/>
        <stp>BDP|3499017192206155801</stp>
        <tr r="M190" s="2"/>
      </tp>
      <tp t="s">
        <v>#N/A N/A</v>
        <stp/>
        <stp>BDP|4552224210051553249</stp>
        <tr r="I238" s="2"/>
      </tp>
      <tp t="s">
        <v>#N/A N/A</v>
        <stp/>
        <stp>BDP|7857598951716550532</stp>
        <tr r="L234" s="2"/>
      </tp>
      <tp t="s">
        <v>#N/A N/A</v>
        <stp/>
        <stp>BDP|2134085704665965327</stp>
        <tr r="H51" s="2"/>
      </tp>
      <tp t="s">
        <v>#N/A N/A</v>
        <stp/>
        <stp>BDP|3134356403564453055</stp>
        <tr r="J59" s="2"/>
      </tp>
      <tp t="s">
        <v>#N/A N/A</v>
        <stp/>
        <stp>BDP|1423787509184657654</stp>
        <tr r="D66" s="2"/>
      </tp>
      <tp t="s">
        <v>#N/A N/A</v>
        <stp/>
        <stp>BDP|5950997680644435423</stp>
        <tr r="I10" s="2"/>
      </tp>
      <tp t="s">
        <v>#N/A N/A</v>
        <stp/>
        <stp>BDP|5240705112601759615</stp>
        <tr r="H215" s="2"/>
      </tp>
      <tp t="s">
        <v>#N/A N/A</v>
        <stp/>
        <stp>BDP|2805186955203682145</stp>
        <tr r="E234" s="2"/>
      </tp>
      <tp t="s">
        <v>#N/A N/A</v>
        <stp/>
        <stp>BDP|4777117012203184321</stp>
        <tr r="E153" s="2"/>
      </tp>
      <tp t="s">
        <v>#N/A N/A</v>
        <stp/>
        <stp>BDP|7263668553640621060</stp>
        <tr r="D213" s="2"/>
      </tp>
      <tp t="s">
        <v>#N/A N/A</v>
        <stp/>
        <stp>BDP|2026306806266984383</stp>
        <tr r="K105" s="2"/>
      </tp>
      <tp t="s">
        <v>#N/A N/A</v>
        <stp/>
        <stp>BDP|3922754552826833311</stp>
        <tr r="F45" s="2"/>
      </tp>
      <tp t="s">
        <v>#N/A N/A</v>
        <stp/>
        <stp>BDP|3696679147645913087</stp>
        <tr r="D39" s="2"/>
      </tp>
      <tp t="s">
        <v>#N/A Requesting Data...2800987867</v>
        <stp/>
        <stp>BDP|8757281889225864390</stp>
        <tr r="L4" s="1"/>
        <tr r="J21" s="2"/>
      </tp>
      <tp t="s">
        <v>#N/A N/A</v>
        <stp/>
        <stp>BDP|8141917706021329423</stp>
        <tr r="F94" s="2"/>
      </tp>
      <tp t="s">
        <v>#N/A N/A</v>
        <stp/>
        <stp>BDP|6537342185550658955</stp>
        <tr r="I256" s="2"/>
      </tp>
      <tp t="s">
        <v>#N/A N/A</v>
        <stp/>
        <stp>BDP|2714331843242264322</stp>
        <tr r="N69" s="2"/>
      </tp>
      <tp t="s">
        <v>#N/A N/A</v>
        <stp/>
        <stp>BDP|4286715338154946063</stp>
        <tr r="F34" s="2"/>
      </tp>
      <tp t="s">
        <v>#N/A N/A</v>
        <stp/>
        <stp>BDP|5891143013559313883</stp>
        <tr r="E44" s="2"/>
      </tp>
      <tp t="s">
        <v>#N/A N/A</v>
        <stp/>
        <stp>BDP|4891737319410553632</stp>
        <tr r="L300" s="2"/>
      </tp>
      <tp t="s">
        <v>#N/A N/A</v>
        <stp/>
        <stp>BDP|8437969370737086568</stp>
        <tr r="I99" s="2"/>
      </tp>
      <tp t="s">
        <v>#N/A N/A</v>
        <stp/>
        <stp>BDP|1345568571462046503</stp>
        <tr r="F14" s="2"/>
      </tp>
      <tp t="s">
        <v>#N/A N/A</v>
        <stp/>
        <stp>BDP|8507981953782305299</stp>
        <tr r="I143" s="2"/>
      </tp>
      <tp t="s">
        <v>#N/A N/A</v>
        <stp/>
        <stp>BDP|8337831625306460054</stp>
        <tr r="F61" s="2"/>
      </tp>
      <tp t="s">
        <v>#N/A N/A</v>
        <stp/>
        <stp>BDP|3601500426299773937</stp>
        <tr r="M195" s="2"/>
      </tp>
      <tp t="s">
        <v>#N/A N/A</v>
        <stp/>
        <stp>BDP|4542881859955797877</stp>
        <tr r="M138" s="2"/>
      </tp>
      <tp t="s">
        <v>#N/A Requesting Data...2925752027</v>
        <stp/>
        <stp>BDP|7054262831332064030</stp>
        <tr r="N25" s="1"/>
        <tr r="L176" s="2"/>
      </tp>
      <tp t="s">
        <v>#N/A N/A</v>
        <stp/>
        <stp>BDP|7549728242902340238</stp>
        <tr r="F203" s="2"/>
      </tp>
      <tp t="s">
        <v>#N/A N/A</v>
        <stp/>
        <stp>BDP|5807779052603007084</stp>
        <tr r="M306" s="2"/>
      </tp>
      <tp t="s">
        <v>#N/A N/A</v>
        <stp/>
        <stp>BDP|1839388033424061166</stp>
        <tr r="G316" s="2"/>
      </tp>
      <tp t="s">
        <v>#N/A N/A</v>
        <stp/>
        <stp>BDP|5188966418760342993</stp>
        <tr r="C249" s="2"/>
      </tp>
      <tp t="s">
        <v>#N/A N/A</v>
        <stp/>
        <stp>BDP|4139108050453287769</stp>
        <tr r="E165" s="2"/>
      </tp>
      <tp t="s">
        <v>#N/A N/A</v>
        <stp/>
        <stp>BDP|4025251565063665736</stp>
        <tr r="G191" s="2"/>
      </tp>
      <tp t="s">
        <v>#N/A N/A</v>
        <stp/>
        <stp>BDP|9589989477521663290</stp>
        <tr r="E13" s="2"/>
      </tp>
      <tp t="s">
        <v>#N/A N/A</v>
        <stp/>
        <stp>BDP|5773874564586909981</stp>
        <tr r="I105" s="2"/>
      </tp>
      <tp t="s">
        <v>#N/A N/A</v>
        <stp/>
        <stp>BDP|3256451729527010749</stp>
        <tr r="I69" s="2"/>
      </tp>
      <tp t="s">
        <v>#N/A N/A</v>
        <stp/>
        <stp>BDP|7397294437111328247</stp>
        <tr r="M67" s="2"/>
      </tp>
      <tp t="s">
        <v>#N/A N/A</v>
        <stp/>
        <stp>BDP|8851057071503397955</stp>
        <tr r="D189" s="2"/>
      </tp>
      <tp t="s">
        <v>#N/A N/A</v>
        <stp/>
        <stp>BDP|5849252590823055870</stp>
        <tr r="M222" s="2"/>
      </tp>
      <tp t="s">
        <v>#N/A N/A</v>
        <stp/>
        <stp>BDP|5812754210901158766</stp>
        <tr r="E16" s="2"/>
      </tp>
      <tp t="s">
        <v>#N/A N/A</v>
        <stp/>
        <stp>BDP|6612565267436975649</stp>
        <tr r="I203" s="2"/>
      </tp>
      <tp t="s">
        <v>#N/A N/A</v>
        <stp/>
        <stp>BDP|6966841295414557678</stp>
        <tr r="G280" s="2"/>
      </tp>
      <tp t="s">
        <v>#N/A N/A</v>
        <stp/>
        <stp>BDP|2838658806670049117</stp>
        <tr r="I255" s="2"/>
      </tp>
      <tp t="s">
        <v>#N/A N/A</v>
        <stp/>
        <stp>BDP|9050369584202192596</stp>
        <tr r="D198" s="2"/>
      </tp>
      <tp t="s">
        <v>#N/A N/A</v>
        <stp/>
        <stp>BDP|3664012379636069747</stp>
        <tr r="G3" s="2"/>
      </tp>
      <tp t="s">
        <v>#N/A Requesting Data...2497150092</v>
        <stp/>
        <stp>BDP|6351343811158504995</stp>
        <tr r="P5" s="1"/>
        <tr r="N29" s="2"/>
      </tp>
      <tp t="s">
        <v>#N/A N/A</v>
        <stp/>
        <stp>BDP|3089699556273343663</stp>
        <tr r="H14" s="2"/>
      </tp>
      <tp t="s">
        <v>#N/A N/A</v>
        <stp/>
        <stp>BDP|2563102163265411581</stp>
        <tr r="F245" s="2"/>
      </tp>
      <tp t="s">
        <v>#N/A N/A</v>
        <stp/>
        <stp>BDP|6261784077950264344</stp>
        <tr r="G261" s="2"/>
      </tp>
      <tp t="s">
        <v>#N/A N/A</v>
        <stp/>
        <stp>BDP|1832204268143889336</stp>
        <tr r="K57" s="2"/>
      </tp>
      <tp t="s">
        <v>#N/A N/A</v>
        <stp/>
        <stp>BDP|8805939722153320510</stp>
        <tr r="G68" s="2"/>
      </tp>
      <tp t="s">
        <v>#N/A N/A</v>
        <stp/>
        <stp>BDP|3695419331867441693</stp>
        <tr r="K106" s="2"/>
      </tp>
      <tp t="s">
        <v>#N/A Requesting Data...2891322028</v>
        <stp/>
        <stp>BDP|4137475059096573610</stp>
        <tr r="G29" s="1"/>
        <tr r="E193" s="2"/>
      </tp>
      <tp t="s">
        <v>#N/A N/A</v>
        <stp/>
        <stp>BDP|2451485051610219646</stp>
        <tr r="C194" s="2"/>
      </tp>
      <tp t="s">
        <v>#N/A N/A</v>
        <stp/>
        <stp>BDP|9639626506142870814</stp>
        <tr r="E187" s="2"/>
      </tp>
      <tp t="s">
        <v>#N/A Requesting Data...3933154688</v>
        <stp/>
        <stp>BDP|7517199387629256218</stp>
        <tr r="N15" s="1"/>
        <tr r="L93" s="2"/>
      </tp>
      <tp t="s">
        <v>#N/A N/A</v>
        <stp/>
        <stp>BDP|1033363563037444696</stp>
        <tr r="N11" s="2"/>
      </tp>
      <tp t="s">
        <v>#N/A N/A</v>
        <stp/>
        <stp>BDP|2421521770787775291</stp>
        <tr r="H123" s="2"/>
      </tp>
      <tp t="s">
        <v>#N/A N/A</v>
        <stp/>
        <stp>BDP|1309247745717373590</stp>
        <tr r="I169" s="2"/>
      </tp>
      <tp t="s">
        <v>#N/A Requesting Data...2947397527</v>
        <stp/>
        <stp>BDP|5215468183619704596</stp>
        <tr r="F9" s="1"/>
        <tr r="D42" s="2"/>
      </tp>
      <tp t="s">
        <v>#N/A Requesting Data...4170962470</v>
        <stp/>
        <stp>BDP|7482591225974396128</stp>
        <tr r="N24" s="1"/>
        <tr r="L157" s="2"/>
      </tp>
      <tp t="s">
        <v>#N/A N/A</v>
        <stp/>
        <stp>BDP|8628955358649633842</stp>
        <tr r="H287" s="2"/>
      </tp>
      <tp t="s">
        <v>#N/A N/A</v>
        <stp/>
        <stp>BDP|3859162175308650846</stp>
        <tr r="E45" s="2"/>
      </tp>
      <tp t="s">
        <v>#N/A Requesting Data...3653678328</v>
        <stp/>
        <stp>BDP|2892534123868558839</stp>
        <tr r="G17" s="1"/>
        <tr r="E109" s="2"/>
      </tp>
      <tp t="s">
        <v>#N/A N/A</v>
        <stp/>
        <stp>BDP|7101216918308090965</stp>
        <tr r="K83" s="2"/>
      </tp>
      <tp t="s">
        <v>#N/A Requesting Data...3481914648</v>
        <stp/>
        <stp>BDP|3336608419500191159</stp>
        <tr r="F29" s="1"/>
        <tr r="D193" s="2"/>
      </tp>
      <tp t="s">
        <v>#N/A N/A</v>
        <stp/>
        <stp>BDP|9808975689934865904</stp>
        <tr r="F127" s="2"/>
      </tp>
      <tp t="s">
        <v>#N/A N/A</v>
        <stp/>
        <stp>BDP|2723596764743603720</stp>
        <tr r="J18" s="2"/>
      </tp>
      <tp t="s">
        <v>#N/A Requesting Data...2898279507</v>
        <stp/>
        <stp>BDP|9878416993077079645</stp>
        <tr r="O41" s="1"/>
        <tr r="M303" s="2"/>
      </tp>
      <tp t="s">
        <v>#N/A Requesting Data...2640998822</v>
        <stp/>
        <stp>BDP|9545875069043510102</stp>
        <tr r="K21" s="1"/>
        <tr r="I148" s="2"/>
      </tp>
      <tp t="s">
        <v>#N/A N/A</v>
        <stp/>
        <stp>BDP|5922352644364377351</stp>
        <tr r="J258" s="2"/>
      </tp>
      <tp t="s">
        <v>#N/A N/A</v>
        <stp/>
        <stp>BDP|9849321897851623744</stp>
        <tr r="I77" s="2"/>
      </tp>
      <tp t="s">
        <v>#N/A N/A</v>
        <stp/>
        <stp>BDP|7307648453234233593</stp>
        <tr r="H178" s="2"/>
      </tp>
      <tp t="s">
        <v>#N/A N/A</v>
        <stp/>
        <stp>BDP|1048184198249728580</stp>
        <tr r="C317" s="2"/>
      </tp>
      <tp t="s">
        <v>#N/A N/A</v>
        <stp/>
        <stp>BDP|3917425858770424781</stp>
        <tr r="H289" s="2"/>
      </tp>
      <tp t="s">
        <v>#N/A N/A</v>
        <stp/>
        <stp>BDP|4730505312907343299</stp>
        <tr r="N51" s="2"/>
      </tp>
      <tp t="s">
        <v>#N/A N/A</v>
        <stp/>
        <stp>BDP|5387207989132332868</stp>
        <tr r="J16" s="2"/>
      </tp>
      <tp t="s">
        <v>#N/A Requesting Data...2357809773</v>
        <stp/>
        <stp>BDP|9594386156423296966</stp>
        <tr r="F4" s="1"/>
        <tr r="D21" s="2"/>
      </tp>
      <tp t="s">
        <v>#N/A N/A</v>
        <stp/>
        <stp>BDP|5287600138896542303</stp>
        <tr r="L18" s="2"/>
      </tp>
      <tp t="s">
        <v>#N/A Requesting Data...4274867622</v>
        <stp/>
        <stp>BDP|6484671714411373583</stp>
        <tr r="E26" s="1"/>
        <tr r="C180" s="2"/>
      </tp>
      <tp t="s">
        <v>#N/A N/A</v>
        <stp/>
        <stp>BDP|5149940197236678689</stp>
        <tr r="J237" s="2"/>
      </tp>
      <tp t="s">
        <v>#N/A N/A</v>
        <stp/>
        <stp>BDP|2212601642910469582</stp>
        <tr r="F222" s="2"/>
      </tp>
      <tp t="s">
        <v>#N/A N/A</v>
        <stp/>
        <stp>BDP|3390494585192298819</stp>
        <tr r="J66" s="2"/>
      </tp>
      <tp t="s">
        <v>#N/A N/A</v>
        <stp/>
        <stp>BDP|9356996255007093734</stp>
        <tr r="J71" s="2"/>
      </tp>
      <tp t="s">
        <v>#N/A N/A</v>
        <stp/>
        <stp>BDP|6929078057603667534</stp>
        <tr r="J178" s="2"/>
      </tp>
      <tp t="s">
        <v>#N/A N/A</v>
        <stp/>
        <stp>BDP|3723319862661887204</stp>
        <tr r="C281" s="2"/>
      </tp>
      <tp t="s">
        <v>#N/A Requesting Data...2954837540</v>
        <stp/>
        <stp>BDP|4988510020036693021</stp>
        <tr r="H18" s="1"/>
        <tr r="F131" s="2"/>
      </tp>
      <tp t="s">
        <v>#N/A N/A</v>
        <stp/>
        <stp>BDP|8177797293066177565</stp>
        <tr r="G266" s="2"/>
      </tp>
      <tp t="s">
        <v>#N/A N/A</v>
        <stp/>
        <stp>BDP|9030093523629070763</stp>
        <tr r="I218" s="2"/>
      </tp>
      <tp t="s">
        <v>#N/A N/A</v>
        <stp/>
        <stp>BDP|9484554228998743323</stp>
        <tr r="J80" s="2"/>
      </tp>
      <tp t="s">
        <v>#N/A N/A</v>
        <stp/>
        <stp>BDP|6195369655090626585</stp>
        <tr r="C202" s="2"/>
      </tp>
      <tp t="s">
        <v>#N/A N/A</v>
        <stp/>
        <stp>BDP|2601434566755609094</stp>
        <tr r="H163" s="2"/>
      </tp>
      <tp t="s">
        <v>#N/A N/A</v>
        <stp/>
        <stp>BDP|8470898413883627742</stp>
        <tr r="J64" s="2"/>
      </tp>
      <tp t="s">
        <v>#N/A N/A</v>
        <stp/>
        <stp>BDP|3806661621431154326</stp>
        <tr r="N299" s="2"/>
      </tp>
      <tp t="s">
        <v>#N/A N/A</v>
        <stp/>
        <stp>BDP|5281166538087722566</stp>
        <tr r="M101" s="2"/>
      </tp>
      <tp t="s">
        <v>#N/A N/A</v>
        <stp/>
        <stp>BDP|7461055248460382671</stp>
        <tr r="C115" s="2"/>
      </tp>
      <tp t="s">
        <v>#N/A N/A</v>
        <stp/>
        <stp>BDP|3121313343026965777</stp>
        <tr r="L153" s="2"/>
      </tp>
      <tp t="s">
        <v>#N/A N/A</v>
        <stp/>
        <stp>BDP|2964271553352805280</stp>
        <tr r="E246" s="2"/>
      </tp>
      <tp t="s">
        <v>#N/A N/A</v>
        <stp/>
        <stp>BDP|4444356818072330188</stp>
        <tr r="L287" s="2"/>
      </tp>
      <tp t="s">
        <v>#N/A N/A</v>
        <stp/>
        <stp>BDP|1899621028044819486</stp>
        <tr r="K236" s="2"/>
      </tp>
      <tp t="s">
        <v>#N/A N/A</v>
        <stp/>
        <stp>BDP|1273898171098043385</stp>
        <tr r="H65" s="2"/>
      </tp>
      <tp t="s">
        <v>#N/A N/A</v>
        <stp/>
        <stp>BDP|2535171315941721629</stp>
        <tr r="N228" s="2"/>
      </tp>
      <tp t="s">
        <v>#N/A N/A</v>
        <stp/>
        <stp>BDP|1190777551536798022</stp>
        <tr r="J191" s="2"/>
      </tp>
      <tp t="s">
        <v>#N/A N/A</v>
        <stp/>
        <stp>BDP|1297428615172035371</stp>
        <tr r="C51" s="2"/>
      </tp>
      <tp t="s">
        <v>#N/A Requesting Data...3534439265</v>
        <stp/>
        <stp>BDP|6552224664163553442</stp>
        <tr r="G23" s="1"/>
        <tr r="E155" s="2"/>
      </tp>
      <tp t="s">
        <v>#N/A N/A</v>
        <stp/>
        <stp>BDP|6761218642211213456</stp>
        <tr r="D62" s="2"/>
      </tp>
      <tp t="s">
        <v>#N/A N/A</v>
        <stp/>
        <stp>BDP|5126153575664647248</stp>
        <tr r="J226" s="2"/>
      </tp>
      <tp t="s">
        <v>#N/A N/A</v>
        <stp/>
        <stp>BDP|2273128503951297722</stp>
        <tr r="I108" s="2"/>
      </tp>
      <tp t="s">
        <v>#N/A N/A</v>
        <stp/>
        <stp>BDP|6354921806292686822</stp>
        <tr r="E240" s="2"/>
      </tp>
      <tp t="s">
        <v>#N/A N/A</v>
        <stp/>
        <stp>BDP|8440908715233705650</stp>
        <tr r="L11" s="2"/>
      </tp>
      <tp t="s">
        <v>#N/A Requesting Data...3136822675</v>
        <stp/>
        <stp>BDP|4030031612535620543</stp>
        <tr r="I5" s="1"/>
        <tr r="G29" s="2"/>
      </tp>
      <tp t="s">
        <v>#N/A N/A</v>
        <stp/>
        <stp>BDP|5090760721064119161</stp>
        <tr r="C268" s="2"/>
      </tp>
      <tp t="s">
        <v>#N/A N/A</v>
        <stp/>
        <stp>BDP|1999482650486852391</stp>
        <tr r="C99" s="2"/>
      </tp>
      <tp t="s">
        <v>#N/A N/A</v>
        <stp/>
        <stp>BDP|3929789104206549707</stp>
        <tr r="D76" s="2"/>
      </tp>
      <tp t="s">
        <v>#N/A N/A</v>
        <stp/>
        <stp>BDP|8567825350829275951</stp>
        <tr r="F305" s="2"/>
      </tp>
      <tp t="s">
        <v>#N/A N/A</v>
        <stp/>
        <stp>BDP|4369050596908525052</stp>
        <tr r="M291" s="2"/>
      </tp>
      <tp t="s">
        <v>#N/A N/A</v>
        <stp/>
        <stp>BDP|1590116359882863250</stp>
        <tr r="C255" s="2"/>
      </tp>
      <tp t="s">
        <v>#N/A N/A</v>
        <stp/>
        <stp>BDP|1165850223477524924</stp>
        <tr r="I188" s="2"/>
      </tp>
      <tp t="s">
        <v>#N/A N/A</v>
        <stp/>
        <stp>BDP|1682412793349575018</stp>
        <tr r="H167" s="2"/>
      </tp>
      <tp t="s">
        <v>#N/A N/A</v>
        <stp/>
        <stp>BDP|9303363412597270957</stp>
        <tr r="C44" s="2"/>
      </tp>
      <tp t="s">
        <v>#N/A Requesting Data...2867023699</v>
        <stp/>
        <stp>BDP|1101650442862536423</stp>
        <tr r="G33" s="1"/>
        <tr r="E223" s="2"/>
      </tp>
      <tp t="s">
        <v>#N/A N/A</v>
        <stp/>
        <stp>BDP|2676426032982008278</stp>
        <tr r="K249" s="2"/>
      </tp>
      <tp t="s">
        <v>#N/A Requesting Data...4260290479</v>
        <stp/>
        <stp>BDP|2112806077058159062</stp>
        <tr r="M24" s="1"/>
        <tr r="K157" s="2"/>
      </tp>
      <tp t="s">
        <v>#N/A N/A</v>
        <stp/>
        <stp>BDP|5428032597509016014</stp>
        <tr r="H164" s="2"/>
      </tp>
      <tp t="s">
        <v>#N/A N/A</v>
        <stp/>
        <stp>BDP|5224898566018496687</stp>
        <tr r="H90" s="2"/>
      </tp>
      <tp t="s">
        <v>#N/A N/A</v>
        <stp/>
        <stp>BDP|7190071956210990787</stp>
        <tr r="I232" s="2"/>
      </tp>
      <tp t="s">
        <v>#N/A N/A</v>
        <stp/>
        <stp>BDP|7449563356461479313</stp>
        <tr r="G275" s="2"/>
      </tp>
      <tp t="s">
        <v>#N/A N/A</v>
        <stp/>
        <stp>BDP|9775940816562422607</stp>
        <tr r="M10" s="2"/>
      </tp>
      <tp t="s">
        <v>#N/A N/A</v>
        <stp/>
        <stp>BDP|7675243243773436746</stp>
        <tr r="N317" s="2"/>
      </tp>
      <tp t="s">
        <v>#N/A Requesting Data...3233339268</v>
        <stp/>
        <stp>BDP|2285041030307147316</stp>
        <tr r="H7" s="1"/>
        <tr r="F36" s="2"/>
      </tp>
      <tp t="s">
        <v>#N/A N/A</v>
        <stp/>
        <stp>BDP|4278034621252142174</stp>
        <tr r="G108" s="2"/>
      </tp>
      <tp t="s">
        <v>#N/A N/A</v>
        <stp/>
        <stp>BDP|9833958357986943656</stp>
        <tr r="H314" s="2"/>
      </tp>
      <tp t="s">
        <v>#N/A N/A</v>
        <stp/>
        <stp>BDP|3317114192269723716</stp>
        <tr r="G253" s="2"/>
      </tp>
      <tp t="s">
        <v>#N/A N/A</v>
        <stp/>
        <stp>BDP|5965740251492816020</stp>
        <tr r="C116" s="2"/>
      </tp>
      <tp t="s">
        <v>#N/A N/A</v>
        <stp/>
        <stp>BDP|1999465868853271536</stp>
        <tr r="E172" s="2"/>
      </tp>
      <tp t="s">
        <v>#N/A N/A</v>
        <stp/>
        <stp>BDP|5301752904644069346</stp>
        <tr r="N262" s="2"/>
      </tp>
      <tp t="s">
        <v>#N/A N/A</v>
        <stp/>
        <stp>BDP|2009161438650045587</stp>
        <tr r="N18" s="2"/>
      </tp>
      <tp t="s">
        <v>#N/A N/A</v>
        <stp/>
        <stp>BDP|3041898555243239894</stp>
        <tr r="N271" s="2"/>
      </tp>
      <tp t="s">
        <v>#N/A N/A</v>
        <stp/>
        <stp>BDP|4481424775021693329</stp>
        <tr r="E50" s="2"/>
      </tp>
      <tp t="s">
        <v>#N/A N/A</v>
        <stp/>
        <stp>BDP|6075809482656764522</stp>
        <tr r="C23" s="2"/>
      </tp>
      <tp t="s">
        <v>#N/A N/A</v>
        <stp/>
        <stp>BDP|8580558236598090310</stp>
        <tr r="C248" s="2"/>
      </tp>
      <tp t="s">
        <v>#N/A N/A</v>
        <stp/>
        <stp>BDP|2272746806139267959</stp>
        <tr r="I177" s="2"/>
      </tp>
      <tp t="s">
        <v>#N/A N/A</v>
        <stp/>
        <stp>BDP|2378714985620989892</stp>
        <tr r="C136" s="2"/>
      </tp>
      <tp t="s">
        <v>#N/A N/A</v>
        <stp/>
        <stp>BDP|6139534868537967746</stp>
        <tr r="M5" s="2"/>
      </tp>
      <tp t="s">
        <v>#N/A Requesting Data...2518514482</v>
        <stp/>
        <stp>BDP|5641652102683764513</stp>
        <tr r="F17" s="1"/>
        <tr r="D109" s="2"/>
      </tp>
      <tp t="s">
        <v>#N/A N/A</v>
        <stp/>
        <stp>BDP|2848181930523408637</stp>
        <tr r="H39" s="2"/>
      </tp>
      <tp t="s">
        <v>#N/A N/A</v>
        <stp/>
        <stp>BDP|1463571882870299940</stp>
        <tr r="L296" s="2"/>
      </tp>
      <tp t="s">
        <v>#N/A N/A</v>
        <stp/>
        <stp>BDP|7123050717877419432</stp>
        <tr r="J211" s="2"/>
      </tp>
      <tp t="s">
        <v>#N/A N/A</v>
        <stp/>
        <stp>BDP|6228361965853571507</stp>
        <tr r="H134" s="2"/>
      </tp>
      <tp t="s">
        <v>#N/A N/A</v>
        <stp/>
        <stp>BDP|6976876789634206714</stp>
        <tr r="F234" s="2"/>
      </tp>
      <tp t="s">
        <v>#N/A N/A</v>
        <stp/>
        <stp>BDP|8266643588126229585</stp>
        <tr r="M141" s="2"/>
      </tp>
      <tp t="s">
        <v>#N/A N/A</v>
        <stp/>
        <stp>BDP|4546252803340147364</stp>
        <tr r="D172" s="2"/>
      </tp>
      <tp t="s">
        <v>#N/A N/A</v>
        <stp/>
        <stp>BDP|7308883085024907636</stp>
        <tr r="H102" s="2"/>
      </tp>
      <tp t="s">
        <v>#N/A Requesting Data...4076597456</v>
        <stp/>
        <stp>BDP|5158348877716170264</stp>
        <tr r="G34" s="1"/>
        <tr r="E233" s="2"/>
      </tp>
      <tp t="s">
        <v>#N/A N/A</v>
        <stp/>
        <stp>BDP|5555961283871453011</stp>
        <tr r="F141" s="2"/>
      </tp>
      <tp t="s">
        <v>#N/A N/A</v>
        <stp/>
        <stp>BDP|7092992794680070281</stp>
        <tr r="C19" s="2"/>
      </tp>
      <tp t="s">
        <v>#N/A N/A</v>
        <stp/>
        <stp>BDP|4221065142653289613</stp>
        <tr r="I88" s="2"/>
      </tp>
      <tp t="s">
        <v>#N/A N/A</v>
        <stp/>
        <stp>BDP|8789453848255635895</stp>
        <tr r="H202" s="2"/>
      </tp>
      <tp t="s">
        <v>#N/A N/A</v>
        <stp/>
        <stp>BDP|1051158982715631846</stp>
        <tr r="D118" s="2"/>
      </tp>
      <tp t="s">
        <v>#N/A N/A</v>
        <stp/>
        <stp>BDP|3063912301717359866</stp>
        <tr r="C302" s="2"/>
      </tp>
      <tp t="s">
        <v>#N/A N/A</v>
        <stp/>
        <stp>BDP|8648746682537506504</stp>
        <tr r="N298" s="2"/>
      </tp>
      <tp t="s">
        <v>#N/A N/A</v>
        <stp/>
        <stp>BDP|7385016516300310328</stp>
        <tr r="J10" s="2"/>
      </tp>
      <tp t="s">
        <v>#N/A N/A</v>
        <stp/>
        <stp>BDP|6401482016607389235</stp>
        <tr r="L6" s="2"/>
      </tp>
      <tp t="s">
        <v>#N/A N/A</v>
        <stp/>
        <stp>BDP|2880202642194259626</stp>
        <tr r="I34" s="2"/>
      </tp>
      <tp t="s">
        <v>#N/A N/A</v>
        <stp/>
        <stp>BDP|4702189771036301273</stp>
        <tr r="G99" s="2"/>
      </tp>
      <tp t="s">
        <v>#N/A N/A</v>
        <stp/>
        <stp>BDP|3691394402527146161</stp>
        <tr r="H11" s="2"/>
      </tp>
      <tp t="s">
        <v>#N/A N/A</v>
        <stp/>
        <stp>BDP|3649714777885208084</stp>
        <tr r="H198" s="2"/>
      </tp>
      <tp t="s">
        <v>#N/A N/A</v>
        <stp/>
        <stp>BDP|4865943611153034978</stp>
        <tr r="N15" s="2"/>
      </tp>
      <tp t="s">
        <v>#N/A N/A</v>
        <stp/>
        <stp>BDP|9596844948355729642</stp>
        <tr r="M32" s="2"/>
      </tp>
      <tp t="s">
        <v>#N/A N/A</v>
        <stp/>
        <stp>BDP|8812743789242775387</stp>
        <tr r="K266" s="2"/>
      </tp>
      <tp t="s">
        <v>#N/A N/A</v>
        <stp/>
        <stp>BDP|4371518981988151781</stp>
        <tr r="L133" s="2"/>
      </tp>
      <tp t="s">
        <v>#N/A N/A</v>
        <stp/>
        <stp>BDP|9776623897417845703</stp>
        <tr r="D102" s="2"/>
      </tp>
      <tp t="s">
        <v>#N/A N/A</v>
        <stp/>
        <stp>BDP|7304778244000961227</stp>
        <tr r="L121" s="2"/>
      </tp>
      <tp t="s">
        <v>#N/A N/A</v>
        <stp/>
        <stp>BDP|8049728126959886276</stp>
        <tr r="I298" s="2"/>
      </tp>
      <tp t="s">
        <v>#N/A Requesting Data...3133142130</v>
        <stp/>
        <stp>BDP|6417471706955943177</stp>
        <tr r="P4" s="1"/>
        <tr r="N21" s="2"/>
      </tp>
      <tp t="s">
        <v>#N/A N/A</v>
        <stp/>
        <stp>BDP|9757584714233188814</stp>
        <tr r="E11" s="2"/>
      </tp>
      <tp t="s">
        <v>#N/A N/A</v>
        <stp/>
        <stp>BDP|4805040354693673454</stp>
        <tr r="K173" s="2"/>
      </tp>
      <tp t="s">
        <v>#N/A N/A</v>
        <stp/>
        <stp>BDP|7649320032658570980</stp>
        <tr r="E67" s="2"/>
      </tp>
      <tp t="s">
        <v>#N/A N/A</v>
        <stp/>
        <stp>BDP|3804954687136281239</stp>
        <tr r="C117" s="2"/>
      </tp>
      <tp t="s">
        <v>#N/A N/A</v>
        <stp/>
        <stp>BDP|2880586479886526070</stp>
        <tr r="N217" s="2"/>
      </tp>
      <tp t="s">
        <v>#N/A N/A</v>
        <stp/>
        <stp>BDP|9439721181287857742</stp>
        <tr r="D248" s="2"/>
      </tp>
      <tp t="s">
        <v>#N/A N/A</v>
        <stp/>
        <stp>BDP|9648994937442664755</stp>
        <tr r="D187" s="2"/>
      </tp>
      <tp t="s">
        <v>#N/A N/A</v>
        <stp/>
        <stp>BDP|8500852369488038819</stp>
        <tr r="N207" s="2"/>
      </tp>
      <tp t="s">
        <v>#N/A N/A</v>
        <stp/>
        <stp>BDP|2449099257623270203</stp>
        <tr r="E130" s="2"/>
      </tp>
      <tp t="s">
        <v>#N/A Requesting Data...3640277215</v>
        <stp/>
        <stp>BDP|4886108366272591739</stp>
        <tr r="F16" s="1"/>
        <tr r="D95" s="2"/>
      </tp>
      <tp t="s">
        <v>#N/A N/A</v>
        <stp/>
        <stp>BDP|1918005402791341600</stp>
        <tr r="G130" s="2"/>
      </tp>
      <tp t="s">
        <v>#N/A N/A</v>
        <stp/>
        <stp>BDP|2404980344781188800</stp>
        <tr r="E264" s="2"/>
      </tp>
      <tp t="s">
        <v>#N/A N/A</v>
        <stp/>
        <stp>BDP|6576532334396860031</stp>
        <tr r="N284" s="2"/>
      </tp>
      <tp t="s">
        <v>#N/A N/A</v>
        <stp/>
        <stp>BDP|6640231509051456310</stp>
        <tr r="H310" s="2"/>
      </tp>
      <tp t="s">
        <v>#N/A N/A</v>
        <stp/>
        <stp>BDP|1209249169047130478</stp>
        <tr r="E218" s="2"/>
      </tp>
      <tp t="s">
        <v>#N/A Requesting Data...3277077240</v>
        <stp/>
        <stp>BDP|6872091448236339235</stp>
        <tr r="M21" s="1"/>
        <tr r="K148" s="2"/>
      </tp>
      <tp t="s">
        <v>#N/A N/A</v>
        <stp/>
        <stp>BDP|6529295171106553311</stp>
        <tr r="J150" s="2"/>
      </tp>
      <tp t="s">
        <v>#N/A N/A</v>
        <stp/>
        <stp>BDP|7556559872334454780</stp>
        <tr r="H174" s="2"/>
      </tp>
      <tp t="s">
        <v>#N/A N/A</v>
        <stp/>
        <stp>BDP|4584189335280085061</stp>
        <tr r="E134" s="2"/>
      </tp>
      <tp t="s">
        <v>#N/A N/A</v>
        <stp/>
        <stp>BDP|6923524543474399557</stp>
        <tr r="N216" s="2"/>
      </tp>
      <tp t="s">
        <v>#N/A N/A</v>
        <stp/>
        <stp>BDP|7086384577350918581</stp>
        <tr r="F272" s="2"/>
      </tp>
      <tp t="s">
        <v>#N/A N/A</v>
        <stp/>
        <stp>BDP|8235770386403967240</stp>
        <tr r="J52" s="2"/>
      </tp>
      <tp t="s">
        <v>#N/A N/A</v>
        <stp/>
        <stp>BDP|2486682621336696650</stp>
        <tr r="G312" s="2"/>
      </tp>
      <tp t="s">
        <v>#N/A Requesting Data...2551493710</v>
        <stp/>
        <stp>BDP|2811331336726431276</stp>
        <tr r="G22" s="1"/>
        <tr r="E152" s="2"/>
      </tp>
      <tp t="s">
        <v>#N/A N/A</v>
        <stp/>
        <stp>BDP|2341477419816246719</stp>
        <tr r="G309" s="2"/>
      </tp>
      <tp t="s">
        <v>#N/A N/A</v>
        <stp/>
        <stp>BDP|4738032068924407071</stp>
        <tr r="M305" s="2"/>
      </tp>
      <tp t="s">
        <v>#N/A N/A</v>
        <stp/>
        <stp>BDP|1417187916533111448</stp>
        <tr r="C166" s="2"/>
      </tp>
      <tp t="s">
        <v>#N/A N/A</v>
        <stp/>
        <stp>BDP|2955109553178757826</stp>
        <tr r="C89" s="2"/>
      </tp>
      <tp t="s">
        <v>#N/A N/A</v>
        <stp/>
        <stp>BDP|7767085351842799663</stp>
        <tr r="E17" s="2"/>
      </tp>
      <tp t="s">
        <v>#N/A N/A</v>
        <stp/>
        <stp>BDP|9388946726823709796</stp>
        <tr r="G172" s="2"/>
      </tp>
      <tp t="s">
        <v>#N/A Requesting Data...3667546107</v>
        <stp/>
        <stp>BDP|1646357328497223167</stp>
        <tr r="F15" s="1"/>
        <tr r="D93" s="2"/>
      </tp>
      <tp t="s">
        <v>#N/A N/A</v>
        <stp/>
        <stp>BDP|3810133101624686039</stp>
        <tr r="L299" s="2"/>
      </tp>
      <tp t="s">
        <v>#N/A N/A</v>
        <stp/>
        <stp>BDP|8020909911215797395</stp>
        <tr r="D54" s="2"/>
      </tp>
      <tp t="s">
        <v>#N/A N/A</v>
        <stp/>
        <stp>BDP|7270941480132229288</stp>
        <tr r="C229" s="2"/>
      </tp>
      <tp t="s">
        <v>#N/A N/A</v>
        <stp/>
        <stp>BDP|7240334953905928277</stp>
        <tr r="H18" s="2"/>
      </tp>
      <tp t="s">
        <v>#N/A N/A</v>
        <stp/>
        <stp>BDP|4933899789042138046</stp>
        <tr r="L76" s="2"/>
      </tp>
      <tp t="s">
        <v>#N/A N/A</v>
        <stp/>
        <stp>BDP|7786179319098443917</stp>
        <tr r="C90" s="2"/>
      </tp>
      <tp t="s">
        <v>#N/A N/A</v>
        <stp/>
        <stp>BDP|9832063903836688977</stp>
        <tr r="H69" s="2"/>
      </tp>
      <tp t="s">
        <v>#N/A N/A</v>
        <stp/>
        <stp>BDP|6361026671494949349</stp>
        <tr r="G301" s="2"/>
      </tp>
      <tp t="s">
        <v>#N/A N/A</v>
        <stp/>
        <stp>BDP|6372617982516584885</stp>
        <tr r="N87" s="2"/>
      </tp>
      <tp t="s">
        <v>#N/A N/A</v>
        <stp/>
        <stp>BDP|3088400192261605991</stp>
        <tr r="J279" s="2"/>
      </tp>
      <tp t="s">
        <v>#N/A N/A</v>
        <stp/>
        <stp>BDP|5681450735482313680</stp>
        <tr r="I80" s="2"/>
      </tp>
      <tp t="s">
        <v>#N/A Requesting Data...4026776771</v>
        <stp/>
        <stp>BDP|7607338507361908367</stp>
        <tr r="E9" s="1"/>
        <tr r="C42" s="2"/>
      </tp>
      <tp t="s">
        <v>#N/A N/A</v>
        <stp/>
        <stp>BDP|5368263615108405894</stp>
        <tr r="G242" s="2"/>
      </tp>
      <tp t="s">
        <v>#N/A N/A</v>
        <stp/>
        <stp>BDP|3824376711594570364</stp>
        <tr r="G12" s="2"/>
      </tp>
      <tp t="s">
        <v>#N/A N/A</v>
        <stp/>
        <stp>BDP|7037115818120588118</stp>
        <tr r="L258" s="2"/>
      </tp>
      <tp t="s">
        <v>#N/A N/A</v>
        <stp/>
        <stp>BDP|4420319456014118000</stp>
        <tr r="C3" s="2"/>
      </tp>
      <tp t="s">
        <v>#N/A N/A</v>
        <stp/>
        <stp>BDP|9352951386859704750</stp>
        <tr r="C50" s="2"/>
      </tp>
      <tp t="s">
        <v>#N/A N/A</v>
        <stp/>
        <stp>BDP|4731613253094166565</stp>
        <tr r="D196" s="2"/>
      </tp>
      <tp t="s">
        <v>#N/A N/A</v>
        <stp/>
        <stp>BDP|2473165669692977105</stp>
        <tr r="H248" s="2"/>
      </tp>
      <tp t="s">
        <v>#N/A N/A</v>
        <stp/>
        <stp>BDP|6659334414701406370</stp>
        <tr r="H300" s="2"/>
      </tp>
      <tp t="s">
        <v>#N/A N/A</v>
        <stp/>
        <stp>BDP|7389048696718679049</stp>
        <tr r="J246" s="2"/>
      </tp>
      <tp t="s">
        <v>#N/A Requesting Data...3045889182</v>
        <stp/>
        <stp>BDP|2714734457856174013</stp>
        <tr r="P26" s="1"/>
        <tr r="N180" s="2"/>
      </tp>
      <tp t="s">
        <v>#N/A N/A</v>
        <stp/>
        <stp>BDP|3983425585340447991</stp>
        <tr r="N306" s="2"/>
      </tp>
      <tp t="s">
        <v>#N/A N/A</v>
        <stp/>
        <stp>BDP|5683472100722652543</stp>
        <tr r="F161" s="2"/>
      </tp>
      <tp t="s">
        <v>#N/A N/A</v>
        <stp/>
        <stp>BDP|3130407561302684553</stp>
        <tr r="F171" s="2"/>
      </tp>
      <tp t="s">
        <v>#N/A N/A</v>
        <stp/>
        <stp>BDP|4691036400700708216</stp>
        <tr r="M45" s="2"/>
      </tp>
      <tp t="s">
        <v>#N/A Requesting Data...3413614968</v>
        <stp/>
        <stp>BDP|1686344365814640620</stp>
        <tr r="L18" s="1"/>
        <tr r="J131" s="2"/>
      </tp>
      <tp t="s">
        <v>#N/A N/A</v>
        <stp/>
        <stp>BDP|8645758392927028724</stp>
        <tr r="I94" s="2"/>
      </tp>
      <tp t="s">
        <v>#N/A N/A</v>
        <stp/>
        <stp>BDP|7734715447335565771</stp>
        <tr r="L312" s="2"/>
      </tp>
      <tp t="s">
        <v>#N/A Requesting Data...2860049297</v>
        <stp/>
        <stp>BDP|2811612797459436291</stp>
        <tr r="O10" s="1"/>
        <tr r="M74" s="2"/>
      </tp>
      <tp t="s">
        <v>#N/A Requesting Data...2668915240</v>
        <stp/>
        <stp>BDP|5630281639010545212</stp>
        <tr r="K6" s="1"/>
        <tr r="I31" s="2"/>
      </tp>
      <tp t="s">
        <v>#N/A N/A</v>
        <stp/>
        <stp>BDP|2149117543024832584</stp>
        <tr r="K35" s="2"/>
      </tp>
      <tp t="s">
        <v>#N/A N/A</v>
        <stp/>
        <stp>BDP|8736550385972082179</stp>
        <tr r="M216" s="2"/>
      </tp>
      <tp t="s">
        <v>#N/A N/A</v>
        <stp/>
        <stp>BDP|3613185737236989105</stp>
        <tr r="I122" s="2"/>
      </tp>
      <tp t="s">
        <v>#N/A N/A</v>
        <stp/>
        <stp>BDP|4406093416220382384</stp>
        <tr r="G169" s="2"/>
      </tp>
      <tp t="s">
        <v>#N/A N/A</v>
        <stp/>
        <stp>BDP|5392722953139743853</stp>
        <tr r="E195" s="2"/>
      </tp>
      <tp t="s">
        <v>#N/A N/A</v>
        <stp/>
        <stp>BDP|5125688988834866988</stp>
        <tr r="H284" s="2"/>
      </tp>
      <tp t="s">
        <v>#N/A N/A</v>
        <stp/>
        <stp>BDP|2776257240362005032</stp>
        <tr r="L8" s="2"/>
      </tp>
      <tp t="s">
        <v>#N/A N/A</v>
        <stp/>
        <stp>BDP|4417972080617016425</stp>
        <tr r="C40" s="2"/>
      </tp>
      <tp t="s">
        <v>#N/A N/A</v>
        <stp/>
        <stp>BDP|3180317715020787737</stp>
        <tr r="D235" s="2"/>
      </tp>
      <tp t="s">
        <v>#N/A N/A</v>
        <stp/>
        <stp>BDP|4008063216667818496</stp>
        <tr r="H63" s="2"/>
      </tp>
      <tp t="s">
        <v>#N/A N/A</v>
        <stp/>
        <stp>BDP|1755730906703242313</stp>
        <tr r="J77" s="2"/>
      </tp>
      <tp t="s">
        <v>#N/A N/A</v>
        <stp/>
        <stp>BDP|9505856962262105320</stp>
        <tr r="I261" s="2"/>
      </tp>
      <tp t="s">
        <v>#N/A N/A</v>
        <stp/>
        <stp>BDP|8318872015376482133</stp>
        <tr r="D60" s="2"/>
      </tp>
      <tp t="s">
        <v>#N/A Requesting Data...3360909780</v>
        <stp/>
        <stp>BDP|3296126827836298034</stp>
        <tr r="G3" s="1"/>
        <tr r="E20" s="2"/>
      </tp>
      <tp t="s">
        <v>#N/A N/A</v>
        <stp/>
        <stp>BDP|4979299019407851672</stp>
        <tr r="F23" s="2"/>
      </tp>
      <tp t="s">
        <v>#N/A N/A</v>
        <stp/>
        <stp>BDP|6614145442290584532</stp>
        <tr r="E60" s="2"/>
      </tp>
      <tp t="s">
        <v>#N/A N/A</v>
        <stp/>
        <stp>BDP|5146907897995033608</stp>
        <tr r="K302" s="2"/>
      </tp>
      <tp t="s">
        <v>#N/A N/A</v>
        <stp/>
        <stp>BDP|2426410256337654234</stp>
        <tr r="K119" s="2"/>
      </tp>
      <tp t="s">
        <v>#N/A Requesting Data...3890619775</v>
        <stp/>
        <stp>BDP|6647709727934251153</stp>
        <tr r="E37" s="1"/>
        <tr r="C276" s="2"/>
      </tp>
      <tp t="s">
        <v>#N/A Requesting Data...3160935720</v>
        <stp/>
        <stp>BDP|2059526150865579118</stp>
        <tr r="L27" s="1"/>
        <tr r="J181" s="2"/>
      </tp>
      <tp t="s">
        <v>#N/A N/A</v>
        <stp/>
        <stp>BDP|6665398498379907395</stp>
        <tr r="L256" s="2"/>
      </tp>
      <tp t="s">
        <v>#N/A N/A</v>
        <stp/>
        <stp>BDP|5488348757500672568</stp>
        <tr r="J84" s="2"/>
      </tp>
      <tp t="s">
        <v>#N/A N/A</v>
        <stp/>
        <stp>BDP|9735340563873016975</stp>
        <tr r="E211" s="2"/>
      </tp>
      <tp t="s">
        <v>#N/A N/A</v>
        <stp/>
        <stp>BDP|2813392161247339647</stp>
        <tr r="M203" s="2"/>
      </tp>
      <tp t="s">
        <v>#N/A N/A</v>
        <stp/>
        <stp>BDP|6162550134203517521</stp>
        <tr r="K68" s="2"/>
      </tp>
      <tp t="s">
        <v>#N/A N/A</v>
        <stp/>
        <stp>BDP|7946169352461043491</stp>
        <tr r="L208" s="2"/>
      </tp>
      <tp t="s">
        <v>#N/A N/A</v>
        <stp/>
        <stp>BDP|2397196449538069973</stp>
        <tr r="M62" s="2"/>
      </tp>
      <tp t="s">
        <v>#N/A N/A</v>
        <stp/>
        <stp>BDP|9135950702797723154</stp>
        <tr r="I275" s="2"/>
      </tp>
      <tp t="s">
        <v>#N/A N/A</v>
        <stp/>
        <stp>BDP|2808082143048241850</stp>
        <tr r="N82" s="2"/>
      </tp>
      <tp t="s">
        <v>#N/A Requesting Data...3630017225</v>
        <stp/>
        <stp>BDP|1112363351829578864</stp>
        <tr r="P31" s="1"/>
        <tr r="N200" s="2"/>
      </tp>
      <tp t="s">
        <v>#N/A N/A</v>
        <stp/>
        <stp>BDP|7644528081825472949</stp>
        <tr r="M52" s="2"/>
      </tp>
      <tp t="s">
        <v>#N/A N/A</v>
        <stp/>
        <stp>BDP|2841290705871167706</stp>
        <tr r="I113" s="2"/>
      </tp>
      <tp t="s">
        <v>#N/A Requesting Data...2889502844</v>
        <stp/>
        <stp>BDP|7584520359200229196</stp>
        <tr r="O17" s="1"/>
        <tr r="M109" s="2"/>
      </tp>
      <tp t="s">
        <v>#N/A N/A</v>
        <stp/>
        <stp>BDP|2476616949723002597</stp>
        <tr r="N208" s="2"/>
      </tp>
      <tp t="s">
        <v>#N/A N/A</v>
        <stp/>
        <stp>BDP|7663734032354453167</stp>
        <tr r="J26" s="2"/>
      </tp>
      <tp t="s">
        <v>#N/A N/A</v>
        <stp/>
        <stp>BDP|4770537540353329022</stp>
        <tr r="I170" s="2"/>
      </tp>
      <tp t="s">
        <v>#N/A Requesting Data...3075963732</v>
        <stp/>
        <stp>BDP|7345648028017389296</stp>
        <tr r="H35" s="1"/>
        <tr r="F243" s="2"/>
      </tp>
      <tp t="s">
        <v>#N/A N/A</v>
        <stp/>
        <stp>BDP|2131698289059680326</stp>
        <tr r="J251" s="2"/>
      </tp>
      <tp t="s">
        <v>#N/A N/A</v>
        <stp/>
        <stp>BDP|7233510822796818139</stp>
        <tr r="M171" s="2"/>
      </tp>
      <tp t="s">
        <v>#N/A N/A</v>
        <stp/>
        <stp>BDP|6378305449364565259</stp>
        <tr r="E292" s="2"/>
      </tp>
      <tp t="s">
        <v>#N/A N/A</v>
        <stp/>
        <stp>BDP|1101684416136513704</stp>
        <tr r="N274" s="2"/>
      </tp>
      <tp t="s">
        <v>#N/A N/A</v>
        <stp/>
        <stp>BDP|8401477681250808314</stp>
        <tr r="L314" s="2"/>
      </tp>
      <tp t="s">
        <v>#N/A N/A</v>
        <stp/>
        <stp>BDP|2082795836474220568</stp>
        <tr r="I301" s="2"/>
      </tp>
      <tp t="s">
        <v>#N/A Requesting Data...2581738929</v>
        <stp/>
        <stp>BDP|3921389168068198930</stp>
        <tr r="N36" s="1"/>
        <tr r="L260" s="2"/>
      </tp>
      <tp t="s">
        <v>#N/A N/A</v>
        <stp/>
        <stp>BDP|5526037138420070152</stp>
        <tr r="M100" s="2"/>
      </tp>
      <tp t="s">
        <v>#N/A N/A</v>
        <stp/>
        <stp>BDP|5911646363283192148</stp>
        <tr r="N30" s="2"/>
      </tp>
      <tp t="s">
        <v>#N/A Requesting Data...3503395226</v>
        <stp/>
        <stp>BDP|3766502329350220372</stp>
        <tr r="N9" s="1"/>
        <tr r="L42" s="2"/>
      </tp>
      <tp t="s">
        <v>#N/A N/A</v>
        <stp/>
        <stp>BDP|2601638515885937725</stp>
        <tr r="K51" s="2"/>
      </tp>
      <tp t="s">
        <v>#N/A N/A</v>
        <stp/>
        <stp>BDP|4932331981499124129</stp>
        <tr r="L190" s="2"/>
      </tp>
      <tp t="s">
        <v>#N/A N/A</v>
        <stp/>
        <stp>BDP|3658188235065250316</stp>
        <tr r="I226" s="2"/>
      </tp>
      <tp t="s">
        <v>#N/A N/A</v>
        <stp/>
        <stp>BDP|9807307594043365772</stp>
        <tr r="E162" s="2"/>
      </tp>
      <tp t="s">
        <v>#N/A N/A</v>
        <stp/>
        <stp>BDP|2827409705252394364</stp>
        <tr r="G178" s="2"/>
      </tp>
      <tp t="s">
        <v>#N/A N/A</v>
        <stp/>
        <stp>BDP|5164632128703056520</stp>
        <tr r="J132" s="2"/>
      </tp>
      <tp t="s">
        <v>#N/A N/A</v>
        <stp/>
        <stp>BDP|1720986893361650739</stp>
        <tr r="C118" s="2"/>
      </tp>
      <tp t="s">
        <v>#N/A N/A</v>
        <stp/>
        <stp>BDP|3765248457736831557</stp>
        <tr r="H239" s="2"/>
      </tp>
      <tp t="s">
        <v>#N/A N/A</v>
        <stp/>
        <stp>BDP|7707439427835995337</stp>
        <tr r="L240" s="2"/>
      </tp>
      <tp t="s">
        <v>#N/A N/A</v>
        <stp/>
        <stp>BDP|2607657967807849258</stp>
        <tr r="M114" s="2"/>
      </tp>
      <tp t="s">
        <v>#N/A Requesting Data...2659885481</v>
        <stp/>
        <stp>BDP|6123201613166929423</stp>
        <tr r="M32" s="1"/>
        <tr r="K204" s="2"/>
      </tp>
      <tp t="s">
        <v>#N/A N/A</v>
        <stp/>
        <stp>BDP|9494818579317219671</stp>
        <tr r="D63" s="2"/>
      </tp>
      <tp t="s">
        <v>#N/A Requesting Data...2726505166</v>
        <stp/>
        <stp>BDP|4658464466766856776</stp>
        <tr r="E28" s="1"/>
        <tr r="C192" s="2"/>
      </tp>
      <tp t="s">
        <v>#N/A N/A</v>
        <stp/>
        <stp>BDP|7706646009282106420</stp>
        <tr r="D145" s="2"/>
      </tp>
      <tp t="s">
        <v>#N/A N/A</v>
        <stp/>
        <stp>BDP|6377402359193314302</stp>
        <tr r="D111" s="2"/>
      </tp>
      <tp t="s">
        <v>#N/A N/A</v>
        <stp/>
        <stp>BDP|9036682132462037930</stp>
        <tr r="L140" s="2"/>
      </tp>
      <tp t="s">
        <v>#N/A N/A</v>
        <stp/>
        <stp>BDP|7529399306295421604</stp>
        <tr r="H184" s="2"/>
      </tp>
      <tp t="s">
        <v>#N/A N/A</v>
        <stp/>
        <stp>BDP|4403037649371297623</stp>
        <tr r="M34" s="2"/>
      </tp>
      <tp t="s">
        <v>#N/A Requesting Data...2854871306</v>
        <stp/>
        <stp>BDP|4773467636922966601</stp>
        <tr r="N33" s="1"/>
        <tr r="L223" s="2"/>
      </tp>
      <tp t="s">
        <v>#N/A N/A</v>
        <stp/>
        <stp>BDP|2998023280465193845</stp>
        <tr r="C190" s="2"/>
      </tp>
      <tp t="s">
        <v>#N/A N/A</v>
        <stp/>
        <stp>BDP|1666637054511786488</stp>
        <tr r="L82" s="2"/>
      </tp>
      <tp t="s">
        <v>#N/A N/A</v>
        <stp/>
        <stp>BDP|7467473305481067583</stp>
        <tr r="L154" s="2"/>
      </tp>
      <tp t="s">
        <v>#N/A N/A</v>
        <stp/>
        <stp>BDP|9775215663908383284</stp>
        <tr r="L174" s="2"/>
      </tp>
      <tp t="s">
        <v>#N/A N/A</v>
        <stp/>
        <stp>BDP|9438323996457759397</stp>
        <tr r="D51" s="2"/>
      </tp>
      <tp t="s">
        <v>#N/A N/A</v>
        <stp/>
        <stp>BDP|3959236253952783119</stp>
        <tr r="D232" s="2"/>
      </tp>
      <tp t="s">
        <v>#N/A N/A</v>
        <stp/>
        <stp>BDP|6072236619924221677</stp>
        <tr r="H110" s="2"/>
      </tp>
      <tp t="s">
        <v>#N/A N/A</v>
        <stp/>
        <stp>BDP|1126432140240894654</stp>
        <tr r="K162" s="2"/>
      </tp>
      <tp t="s">
        <v>#N/A N/A</v>
        <stp/>
        <stp>BDP|1860838383615510328</stp>
        <tr r="D293" s="2"/>
      </tp>
      <tp t="s">
        <v>#N/A N/A</v>
        <stp/>
        <stp>BDP|8973409814929371311</stp>
        <tr r="M14" s="2"/>
      </tp>
      <tp t="s">
        <v>#N/A N/A</v>
        <stp/>
        <stp>BDP|4328157734121976041</stp>
        <tr r="N57" s="2"/>
      </tp>
      <tp t="s">
        <v>#N/A N/A</v>
        <stp/>
        <stp>BDP|1015372068833360038</stp>
        <tr r="N184" s="2"/>
      </tp>
      <tp t="s">
        <v>#N/A Requesting Data...3898494417</v>
        <stp/>
        <stp>BDP|1975860451498298300</stp>
        <tr r="P3" s="1"/>
        <tr r="N20" s="2"/>
      </tp>
      <tp t="s">
        <v>#N/A N/A</v>
        <stp/>
        <stp>BDP|7425799493926183830</stp>
        <tr r="H94" s="2"/>
      </tp>
      <tp t="s">
        <v>#N/A N/A</v>
        <stp/>
        <stp>BDP|2159186320887744122</stp>
        <tr r="M144" s="2"/>
      </tp>
      <tp t="s">
        <v>#N/A N/A</v>
        <stp/>
        <stp>BDP|2802490202890639196</stp>
        <tr r="J289" s="2"/>
      </tp>
      <tp t="s">
        <v>#N/A N/A</v>
        <stp/>
        <stp>BDP|5151099973184641118</stp>
        <tr r="F51" s="2"/>
      </tp>
      <tp t="s">
        <v>#N/A N/A</v>
        <stp/>
        <stp>BDP|7892550460206388522</stp>
        <tr r="H261" s="2"/>
      </tp>
      <tp t="s">
        <v>#N/A N/A</v>
        <stp/>
        <stp>BDP|4355615514814909039</stp>
        <tr r="J194" s="2"/>
      </tp>
      <tp t="s">
        <v>#N/A N/A</v>
        <stp/>
        <stp>BDP|1596581177524082066</stp>
        <tr r="C125" s="2"/>
      </tp>
      <tp t="s">
        <v>#N/A N/A</v>
        <stp/>
        <stp>BDP|7919697512584915371</stp>
        <tr r="M194" s="2"/>
      </tp>
      <tp t="s">
        <v>#N/A N/A</v>
        <stp/>
        <stp>BDP|9513587120580817997</stp>
        <tr r="L224" s="2"/>
      </tp>
      <tp t="s">
        <v>#N/A N/A</v>
        <stp/>
        <stp>BDP|8283984426251310527</stp>
        <tr r="J164" s="2"/>
      </tp>
      <tp t="s">
        <v>#N/A N/A</v>
        <stp/>
        <stp>BDP|1884053108650933615</stp>
        <tr r="K214" s="2"/>
      </tp>
      <tp t="s">
        <v>#N/A N/A</v>
        <stp/>
        <stp>BDP|3613587663732022509</stp>
        <tr r="J169" s="2"/>
      </tp>
      <tp t="s">
        <v>#N/A N/A</v>
        <stp/>
        <stp>BDP|9699782392732240234</stp>
        <tr r="H149" s="2"/>
      </tp>
      <tp t="s">
        <v>#N/A Requesting Data...3524978097</v>
        <stp/>
        <stp>BDP|4467229123492852101</stp>
        <tr r="H29" s="1"/>
        <tr r="F193" s="2"/>
      </tp>
      <tp t="s">
        <v>#N/A Requesting Data...3119152535</v>
        <stp/>
        <stp>BDP|5602193359297392188</stp>
        <tr r="M34" s="1"/>
        <tr r="K233" s="2"/>
      </tp>
      <tp t="s">
        <v>#N/A N/A</v>
        <stp/>
        <stp>BDP|6942051557014211041</stp>
        <tr r="N213" s="2"/>
      </tp>
      <tp t="s">
        <v>#N/A N/A</v>
        <stp/>
        <stp>BDP|1523283457601466037</stp>
        <tr r="H50" s="2"/>
      </tp>
      <tp t="s">
        <v>#N/A N/A</v>
        <stp/>
        <stp>BDP|4449097178447996318</stp>
        <tr r="D302" s="2"/>
      </tp>
      <tp t="s">
        <v>#N/A N/A</v>
        <stp/>
        <stp>BDP|5025339307296422723</stp>
        <tr r="M247" s="2"/>
      </tp>
      <tp t="s">
        <v>#N/A N/A</v>
        <stp/>
        <stp>BDP|2584143588799286598</stp>
        <tr r="H279" s="2"/>
      </tp>
      <tp t="s">
        <v>#N/A N/A</v>
        <stp/>
        <stp>BDP|7321860364869176722</stp>
        <tr r="C96" s="2"/>
      </tp>
      <tp t="s">
        <v>#N/A N/A</v>
        <stp/>
        <stp>BDP|8811985812741366637</stp>
        <tr r="D119" s="2"/>
      </tp>
      <tp t="s">
        <v>#N/A N/A</v>
        <stp/>
        <stp>BDP|2944037566843991077</stp>
        <tr r="N16" s="2"/>
      </tp>
      <tp t="s">
        <v>#N/A N/A</v>
        <stp/>
        <stp>BDP|6583569953475495468</stp>
        <tr r="K208" s="2"/>
      </tp>
      <tp t="s">
        <v>#N/A N/A</v>
        <stp/>
        <stp>BDP|4338758817992213717</stp>
        <tr r="J216" s="2"/>
      </tp>
      <tp t="s">
        <v>#N/A N/A</v>
        <stp/>
        <stp>BDP|4591009243125015246</stp>
        <tr r="F242" s="2"/>
      </tp>
      <tp t="s">
        <v>#N/A N/A</v>
        <stp/>
        <stp>BDP|6614710239424954149</stp>
        <tr r="L184" s="2"/>
      </tp>
      <tp t="s">
        <v>#N/A N/A</v>
        <stp/>
        <stp>BDP|1382092761195132591</stp>
        <tr r="M107" s="2"/>
      </tp>
      <tp t="s">
        <v>#N/A N/A</v>
        <stp/>
        <stp>BDP|3383321113214379227</stp>
        <tr r="J22" s="2"/>
      </tp>
      <tp t="s">
        <v>#N/A N/A</v>
        <stp/>
        <stp>BDP|4496826483234236743</stp>
        <tr r="N132" s="2"/>
      </tp>
      <tp t="s">
        <v>#N/A N/A</v>
        <stp/>
        <stp>BDP|9518140857312691834</stp>
        <tr r="I111" s="2"/>
      </tp>
      <tp t="s">
        <v>#N/A Requesting Data...3404527753</v>
        <stp/>
        <stp>BDP|2970140955119296891</stp>
        <tr r="L6" s="1"/>
        <tr r="J31" s="2"/>
      </tp>
      <tp t="s">
        <v>#N/A N/A</v>
        <stp/>
        <stp>BDP|6307957881824186459</stp>
        <tr r="M169" s="2"/>
      </tp>
      <tp t="s">
        <v>#N/A Requesting Data...3533843857</v>
        <stp/>
        <stp>BDP|3056803197395501015</stp>
        <tr r="N4" s="1"/>
        <tr r="L21" s="2"/>
      </tp>
      <tp t="s">
        <v>#N/A Requesting Data...4008412848</v>
        <stp/>
        <stp>BDP|6433003312211428113</stp>
        <tr r="N39" s="1"/>
        <tr r="L282" s="2"/>
      </tp>
      <tp t="s">
        <v>#N/A N/A</v>
        <stp/>
        <stp>BDP|5748924283775706623</stp>
        <tr r="F237" s="2"/>
      </tp>
      <tp t="s">
        <v>#N/A N/A</v>
        <stp/>
        <stp>BDP|1552033644111552378</stp>
        <tr r="C288" s="2"/>
      </tp>
      <tp t="s">
        <v>#N/A N/A</v>
        <stp/>
        <stp>BDP|2822396613993226405</stp>
        <tr r="K72" s="2"/>
      </tp>
      <tp t="s">
        <v>#N/A Requesting Data...3349068012</v>
        <stp/>
        <stp>BDP|7469018715994291523</stp>
        <tr r="N6" s="1"/>
        <tr r="L31" s="2"/>
      </tp>
      <tp t="s">
        <v>#N/A N/A</v>
        <stp/>
        <stp>BDP|2348084106271974448</stp>
        <tr r="M75" s="2"/>
      </tp>
      <tp t="s">
        <v>#N/A N/A</v>
        <stp/>
        <stp>BDP|6658070103339648843</stp>
        <tr r="L265" s="2"/>
      </tp>
      <tp t="s">
        <v>#N/A N/A</v>
        <stp/>
        <stp>BDP|9774652421562217811</stp>
        <tr r="E283" s="2"/>
      </tp>
      <tp t="s">
        <v>#N/A Requesting Data...3789567804</v>
        <stp/>
        <stp>BDP|3516233240144148672</stp>
        <tr r="E7" s="1"/>
        <tr r="C36" s="2"/>
      </tp>
      <tp t="s">
        <v>#N/A N/A</v>
        <stp/>
        <stp>BDP|6122587975125568695</stp>
        <tr r="M269" s="2"/>
      </tp>
      <tp t="s">
        <v>#N/A N/A</v>
        <stp/>
        <stp>BDP|9669310293100420403</stp>
        <tr r="G162" s="2"/>
      </tp>
      <tp t="s">
        <v>#N/A N/A</v>
        <stp/>
        <stp>BDP|2000221865860022161</stp>
        <tr r="M135" s="2"/>
      </tp>
      <tp t="s">
        <v>#N/A N/A</v>
        <stp/>
        <stp>BDP|4482528653715190652</stp>
        <tr r="C126" s="2"/>
      </tp>
      <tp t="s">
        <v>#N/A N/A</v>
        <stp/>
        <stp>BDP|1161747988890870940</stp>
        <tr r="I61" s="2"/>
      </tp>
      <tp t="s">
        <v>#N/A N/A</v>
        <stp/>
        <stp>BDP|4492021573277318375</stp>
        <tr r="J229" s="2"/>
      </tp>
      <tp t="s">
        <v>#N/A N/A</v>
        <stp/>
        <stp>BDP|1765804061259255150</stp>
        <tr r="J227" s="2"/>
      </tp>
      <tp t="s">
        <v>#N/A N/A</v>
        <stp/>
        <stp>BDP|4311649811815109165</stp>
        <tr r="K8" s="2"/>
      </tp>
      <tp t="s">
        <v>#N/A N/A</v>
        <stp/>
        <stp>BDP|7004533853984048462</stp>
        <tr r="M163" s="2"/>
      </tp>
      <tp t="s">
        <v>#N/A N/A</v>
        <stp/>
        <stp>BDP|9838870598826353922</stp>
        <tr r="K234" s="2"/>
      </tp>
      <tp t="s">
        <v>#N/A N/A</v>
        <stp/>
        <stp>BDP|6904695427163500645</stp>
        <tr r="J24" s="2"/>
      </tp>
      <tp t="s">
        <v>#N/A N/A</v>
        <stp/>
        <stp>BDP|9687917762010184127</stp>
        <tr r="H54" s="2"/>
      </tp>
      <tp t="s">
        <v>#N/A N/A</v>
        <stp/>
        <stp>BDP|3824182165247758445</stp>
        <tr r="F119" s="2"/>
      </tp>
      <tp t="s">
        <v>#N/A N/A</v>
        <stp/>
        <stp>BDP|7803200298218569336</stp>
        <tr r="E63" s="2"/>
      </tp>
      <tp t="s">
        <v>#N/A N/A</v>
        <stp/>
        <stp>BDP|7630763222421150454</stp>
        <tr r="E124" s="2"/>
      </tp>
      <tp t="s">
        <v>#N/A N/A</v>
        <stp/>
        <stp>BDP|3156902877323047905</stp>
        <tr r="M261" s="2"/>
      </tp>
      <tp t="s">
        <v>#N/A N/A</v>
        <stp/>
        <stp>BDP|3922432727850344288</stp>
        <tr r="K262" s="2"/>
      </tp>
      <tp t="s">
        <v>#N/A N/A</v>
        <stp/>
        <stp>BDP|6565645207226243121</stp>
        <tr r="N178" s="2"/>
      </tp>
      <tp t="s">
        <v>#N/A N/A</v>
        <stp/>
        <stp>BDP|9158250123128926682</stp>
        <tr r="H156" s="2"/>
      </tp>
      <tp t="s">
        <v>#N/A N/A</v>
        <stp/>
        <stp>BDP|5461709183924967998</stp>
        <tr r="N244" s="2"/>
      </tp>
      <tp t="s">
        <v>#N/A N/A</v>
        <stp/>
        <stp>BDP|5776190067321696486</stp>
        <tr r="D126" s="2"/>
      </tp>
      <tp t="s">
        <v>#N/A Requesting Data...3416128231</v>
        <stp/>
        <stp>BDP|3812309776769109984</stp>
        <tr r="J41" s="1"/>
        <tr r="H303" s="2"/>
      </tp>
      <tp t="s">
        <v>#N/A N/A</v>
        <stp/>
        <stp>BDP|3346406470567267060</stp>
        <tr r="G119" s="2"/>
      </tp>
      <tp t="s">
        <v>#N/A N/A</v>
        <stp/>
        <stp>BDP|9849766206960623999</stp>
        <tr r="I35" s="2"/>
      </tp>
      <tp t="s">
        <v>#N/A Requesting Data...2677780851</v>
        <stp/>
        <stp>BDP|8765458392896514425</stp>
        <tr r="O19" s="1"/>
        <tr r="M142" s="2"/>
      </tp>
      <tp t="s">
        <v>#N/A N/A</v>
        <stp/>
        <stp>BDP|6666417207464452137</stp>
        <tr r="H72" s="2"/>
      </tp>
      <tp t="s">
        <v>#N/A N/A</v>
        <stp/>
        <stp>BDP|4449147906244276631</stp>
        <tr r="G140" s="2"/>
      </tp>
      <tp t="s">
        <v>#N/A N/A</v>
        <stp/>
        <stp>BDP|7718213674351408416</stp>
        <tr r="F139" s="2"/>
      </tp>
      <tp t="s">
        <v>#N/A N/A</v>
        <stp/>
        <stp>BDP|3358108415611448566</stp>
        <tr r="F121" s="2"/>
      </tp>
      <tp t="s">
        <v>#N/A N/A</v>
        <stp/>
        <stp>BDP|8457905838644862109</stp>
        <tr r="G262" s="2"/>
      </tp>
      <tp t="s">
        <v>#N/A Requesting Data...2754156358</v>
        <stp/>
        <stp>BDP|7688755643790142355</stp>
        <tr r="J7" s="1"/>
        <tr r="H36" s="2"/>
      </tp>
      <tp t="s">
        <v>#N/A N/A</v>
        <stp/>
        <stp>BDP|2245071955907260761</stp>
        <tr r="I119" s="2"/>
      </tp>
      <tp t="s">
        <v>#N/A N/A</v>
        <stp/>
        <stp>BDP|5341559214125529330</stp>
        <tr r="H130" s="2"/>
      </tp>
      <tp t="s">
        <v>#N/A N/A</v>
        <stp/>
        <stp>BDP|8217862567861223058</stp>
        <tr r="L293" s="2"/>
      </tp>
      <tp t="s">
        <v>#N/A N/A</v>
        <stp/>
        <stp>BDP|1582182363439865828</stp>
        <tr r="C119" s="2"/>
      </tp>
      <tp t="s">
        <v>#N/A N/A</v>
        <stp/>
        <stp>BDP|7498611120053935788</stp>
        <tr r="N248" s="2"/>
      </tp>
      <tp t="s">
        <v>#N/A N/A</v>
        <stp/>
        <stp>BDP|1586948163261374853</stp>
        <tr r="F172" s="2"/>
      </tp>
      <tp t="s">
        <v>#N/A N/A</v>
        <stp/>
        <stp>BDP|2338717922911762123</stp>
        <tr r="N44" s="2"/>
      </tp>
      <tp t="s">
        <v>#N/A N/A</v>
        <stp/>
        <stp>BDP|2168561906787038741</stp>
        <tr r="J261" s="2"/>
      </tp>
      <tp t="s">
        <v>#N/A N/A</v>
        <stp/>
        <stp>BDP|1083658023781773345</stp>
        <tr r="F252" s="2"/>
      </tp>
      <tp t="s">
        <v>#N/A N/A</v>
        <stp/>
        <stp>BDP|5188069723927365729</stp>
        <tr r="I8" s="2"/>
      </tp>
      <tp t="s">
        <v>#N/A N/A</v>
        <stp/>
        <stp>BDP|1747044708955598448</stp>
        <tr r="K10" s="2"/>
      </tp>
      <tp t="s">
        <v>#N/A N/A</v>
        <stp/>
        <stp>BDP|7128798717017410616</stp>
        <tr r="D37" s="2"/>
      </tp>
      <tp t="s">
        <v>#N/A N/A</v>
        <stp/>
        <stp>BDP|6513334308515181056</stp>
        <tr r="K49" s="2"/>
      </tp>
      <tp t="s">
        <v>#N/A N/A</v>
        <stp/>
        <stp>BDP|8694884886821296902</stp>
        <tr r="H247" s="2"/>
      </tp>
      <tp t="s">
        <v>#N/A N/A</v>
        <stp/>
        <stp>BDP|3723173801354250692</stp>
        <tr r="M237" s="2"/>
      </tp>
      <tp t="s">
        <v>#N/A Requesting Data...2658785115</v>
        <stp/>
        <stp>BDP|1930126755255202061</stp>
        <tr r="J36" s="1"/>
        <tr r="H260" s="2"/>
      </tp>
      <tp t="s">
        <v>#N/A N/A</v>
        <stp/>
        <stp>BDP|8462393157199376735</stp>
        <tr r="M242" s="2"/>
      </tp>
      <tp t="s">
        <v>#N/A N/A</v>
        <stp/>
        <stp>BDP|6881219867754004640</stp>
        <tr r="F306" s="2"/>
      </tp>
      <tp t="s">
        <v>#N/A N/A</v>
        <stp/>
        <stp>BDP|8934533942271092832</stp>
        <tr r="M198" s="2"/>
      </tp>
      <tp t="s">
        <v>#N/A N/A</v>
        <stp/>
        <stp>BDP|2207796070354690667</stp>
        <tr r="C164" s="2"/>
      </tp>
      <tp t="s">
        <v>#N/A N/A</v>
        <stp/>
        <stp>BDP|2725984616088584273</stp>
        <tr r="M39" s="2"/>
      </tp>
      <tp t="s">
        <v>#N/A N/A</v>
        <stp/>
        <stp>BDP|8720108839348017257</stp>
        <tr r="H87" s="2"/>
      </tp>
      <tp t="s">
        <v>#N/A N/A</v>
        <stp/>
        <stp>BDP|5565544919087275616</stp>
        <tr r="N293" s="2"/>
      </tp>
      <tp t="s">
        <v>#N/A N/A</v>
        <stp/>
        <stp>BDP|1828176829532544080</stp>
        <tr r="K292" s="2"/>
      </tp>
      <tp t="s">
        <v>#N/A N/A</v>
        <stp/>
        <stp>BDP|4748929214539825512</stp>
        <tr r="C18" s="2"/>
      </tp>
      <tp t="s">
        <v>#N/A N/A</v>
        <stp/>
        <stp>BDP|6885522260133085621</stp>
        <tr r="H83" s="2"/>
      </tp>
      <tp t="s">
        <v>#N/A N/A</v>
        <stp/>
        <stp>BDP|3492398161457365171</stp>
        <tr r="C128" s="2"/>
      </tp>
      <tp t="s">
        <v>#N/A N/A</v>
        <stp/>
        <stp>BDP|4430278877405594493</stp>
        <tr r="J30" s="2"/>
      </tp>
      <tp t="s">
        <v>#N/A N/A</v>
        <stp/>
        <stp>BDP|4908151516513206700</stp>
        <tr r="E106" s="2"/>
      </tp>
      <tp t="s">
        <v>#N/A N/A</v>
        <stp/>
        <stp>BDP|8336525400268022591</stp>
        <tr r="C209" s="2"/>
      </tp>
      <tp t="s">
        <v>#N/A N/A</v>
        <stp/>
        <stp>BDP|2705975649189800688</stp>
        <tr r="F72" s="2"/>
      </tp>
      <tp t="s">
        <v>#N/A N/A</v>
        <stp/>
        <stp>BDP|8202355235230802838</stp>
        <tr r="J114" s="2"/>
      </tp>
      <tp t="s">
        <v>#N/A N/A</v>
        <stp/>
        <stp>BDP|6629326114912905603</stp>
        <tr r="L123" s="2"/>
      </tp>
      <tp t="s">
        <v>#N/A N/A</v>
        <stp/>
        <stp>BDP|7739949919297659858</stp>
        <tr r="E201" s="2"/>
      </tp>
      <tp t="s">
        <v>#N/A N/A</v>
        <stp/>
        <stp>BDP|2428261578551674654</stp>
        <tr r="J238" s="2"/>
      </tp>
      <tp t="s">
        <v>#N/A N/A</v>
        <stp/>
        <stp>BDP|2957846665144699802</stp>
        <tr r="M173" s="2"/>
      </tp>
      <tp t="s">
        <v>#N/A N/A</v>
        <stp/>
        <stp>BDP|2301689331980584711</stp>
        <tr r="E268" s="2"/>
      </tp>
      <tp t="s">
        <v>#N/A N/A</v>
        <stp/>
        <stp>BDP|2539003856783480495</stp>
        <tr r="N19" s="2"/>
      </tp>
      <tp t="s">
        <v>#N/A N/A</v>
        <stp/>
        <stp>BDP|2277177318177146528</stp>
        <tr r="E307" s="2"/>
      </tp>
      <tp t="s">
        <v>#N/A N/A</v>
        <stp/>
        <stp>BDP|6986398992639421588</stp>
        <tr r="K132" s="2"/>
      </tp>
      <tp t="s">
        <v>#N/A N/A</v>
        <stp/>
        <stp>BDP|2593804095763809065</stp>
        <tr r="K279" s="2"/>
      </tp>
      <tp t="s">
        <v>#N/A N/A</v>
        <stp/>
        <stp>BDP|8698484318048063585</stp>
        <tr r="D203" s="2"/>
      </tp>
      <tp t="s">
        <v>#N/A N/A</v>
        <stp/>
        <stp>BDP|7394726203047591795</stp>
        <tr r="N115" s="2"/>
      </tp>
      <tp t="s">
        <v>#N/A N/A</v>
        <stp/>
        <stp>BDP|6604257155709947816</stp>
        <tr r="D162" s="2"/>
      </tp>
      <tp t="s">
        <v>#N/A N/A</v>
        <stp/>
        <stp>BDP|3088842519569128328</stp>
        <tr r="G79" s="2"/>
      </tp>
      <tp t="s">
        <v>#N/A N/A</v>
        <stp/>
        <stp>BDP|8923532584072719774</stp>
        <tr r="D167" s="2"/>
      </tp>
      <tp t="s">
        <v>#N/A N/A</v>
        <stp/>
        <stp>BDP|4677378726810920502</stp>
        <tr r="N77" s="2"/>
      </tp>
      <tp t="s">
        <v>#N/A N/A</v>
        <stp/>
        <stp>BDP|4919160936445657316</stp>
        <tr r="M47" s="2"/>
      </tp>
      <tp t="s">
        <v>#N/A N/A</v>
        <stp/>
        <stp>BDP|2918997099294146679</stp>
        <tr r="M231" s="2"/>
      </tp>
      <tp t="s">
        <v>#N/A N/A</v>
        <stp/>
        <stp>BDP|1218789599509889648</stp>
        <tr r="H195" s="2"/>
      </tp>
      <tp t="s">
        <v>#N/A N/A</v>
        <stp/>
        <stp>BDP|6901796709190299142</stp>
        <tr r="C313" s="2"/>
      </tp>
      <tp t="s">
        <v>#N/A N/A</v>
        <stp/>
        <stp>BDP|9191471021957847805</stp>
        <tr r="I272" s="2"/>
      </tp>
      <tp t="s">
        <v>#N/A Requesting Data...3879537962</v>
        <stp/>
        <stp>BDP|2959321123087158461</stp>
        <tr r="M6" s="1"/>
        <tr r="K31" s="2"/>
      </tp>
      <tp t="s">
        <v>#N/A Requesting Data...3876036913</v>
        <stp/>
        <stp>BDP|3020522438363439610</stp>
        <tr r="I33" s="1"/>
        <tr r="G223" s="2"/>
      </tp>
      <tp t="s">
        <v>#N/A N/A</v>
        <stp/>
        <stp>BDP|4166163361426815512</stp>
        <tr r="N151" s="2"/>
      </tp>
      <tp t="s">
        <v>#N/A N/A</v>
        <stp/>
        <stp>BDP|4613590666390272743</stp>
        <tr r="L53" s="2"/>
      </tp>
      <tp t="s">
        <v>#N/A N/A</v>
        <stp/>
        <stp>BDP|5967189139493153457</stp>
        <tr r="E97" s="2"/>
      </tp>
      <tp t="s">
        <v>#N/A N/A</v>
        <stp/>
        <stp>BDP|7099177315656914171</stp>
        <tr r="D268" s="2"/>
      </tp>
      <tp t="s">
        <v>#N/A N/A</v>
        <stp/>
        <stp>BDP|2498785745173412216</stp>
        <tr r="C45" s="2"/>
      </tp>
      <tp t="s">
        <v>#N/A Requesting Data...4255931491</v>
        <stp/>
        <stp>BDP|9325096653805385969</stp>
        <tr r="I14" s="1"/>
        <tr r="G91" s="2"/>
      </tp>
      <tp t="s">
        <v>#N/A N/A</v>
        <stp/>
        <stp>BDP|3912359142653211700</stp>
        <tr r="D97" s="2"/>
      </tp>
      <tp t="s">
        <v>#N/A N/A</v>
        <stp/>
        <stp>BDP|1238497513962253666</stp>
        <tr r="I293" s="2"/>
      </tp>
      <tp t="s">
        <v>#N/A N/A</v>
        <stp/>
        <stp>BDP|5684403946045497083</stp>
        <tr r="N73" s="2"/>
      </tp>
      <tp t="s">
        <v>#N/A N/A</v>
        <stp/>
        <stp>BDP|7073195446027610550</stp>
        <tr r="G39" s="2"/>
      </tp>
      <tp t="s">
        <v>#N/A N/A</v>
        <stp/>
        <stp>BDP|5253392069416780698</stp>
        <tr r="G284" s="2"/>
      </tp>
      <tp t="s">
        <v>#N/A N/A</v>
        <stp/>
        <stp>BDP|8849220733998472118</stp>
        <tr r="K89" s="2"/>
      </tp>
      <tp t="s">
        <v>#N/A Requesting Data...3794327259</v>
        <stp/>
        <stp>BDP|3618255239086752413</stp>
        <tr r="K11" s="1"/>
        <tr r="I78" s="2"/>
      </tp>
      <tp t="s">
        <v>#N/A N/A</v>
        <stp/>
        <stp>BDP|2687915108319533268</stp>
        <tr r="E76" s="2"/>
      </tp>
      <tp t="s">
        <v>#N/A N/A</v>
        <stp/>
        <stp>BDP|9242780790012569535</stp>
        <tr r="K198" s="2"/>
      </tp>
      <tp t="s">
        <v>#N/A N/A</v>
        <stp/>
        <stp>BDP|8027129496366134683</stp>
        <tr r="K261" s="2"/>
      </tp>
      <tp t="s">
        <v>#N/A N/A</v>
        <stp/>
        <stp>BDP|2190448940710958210</stp>
        <tr r="G116" s="2"/>
      </tp>
      <tp t="s">
        <v>#N/A N/A</v>
        <stp/>
        <stp>BDP|8967066712909633090</stp>
        <tr r="G305" s="2"/>
      </tp>
      <tp t="s">
        <v>#N/A Requesting Data...3074088748</v>
        <stp/>
        <stp>BDP|4599032634657501057</stp>
        <tr r="O15" s="1"/>
        <tr r="M93" s="2"/>
      </tp>
      <tp t="s">
        <v>#N/A N/A</v>
        <stp/>
        <stp>BDP|4713449074820080754</stp>
        <tr r="F8" s="2"/>
      </tp>
      <tp t="s">
        <v>#N/A N/A</v>
        <stp/>
        <stp>BDP|6793920393130129656</stp>
        <tr r="G211" s="2"/>
      </tp>
      <tp t="s">
        <v>#N/A N/A</v>
        <stp/>
        <stp>BDP|2462905178105637980</stp>
        <tr r="J310" s="2"/>
      </tp>
      <tp t="s">
        <v>#N/A N/A</v>
        <stp/>
        <stp>BDP|5763862180225523065</stp>
        <tr r="J174" s="2"/>
      </tp>
      <tp t="s">
        <v>#N/A N/A</v>
        <stp/>
        <stp>BDP|2421964305212535907</stp>
        <tr r="C65" s="2"/>
      </tp>
      <tp t="s">
        <v>#N/A N/A</v>
        <stp/>
        <stp>BDP|4934015746619506993</stp>
        <tr r="H317" s="2"/>
      </tp>
      <tp t="s">
        <v>#N/A Requesting Data...4095513967</v>
        <stp/>
        <stp>BDP|4282210824154599002</stp>
        <tr r="N10" s="1"/>
        <tr r="L74" s="2"/>
      </tp>
      <tp t="s">
        <v>#N/A N/A</v>
        <stp/>
        <stp>BDP|6426588479405514136</stp>
        <tr r="E49" s="2"/>
      </tp>
      <tp t="s">
        <v>#N/A N/A</v>
        <stp/>
        <stp>BDP|6563589743176935146</stp>
        <tr r="K26" s="2"/>
      </tp>
      <tp t="s">
        <v>#N/A N/A</v>
        <stp/>
        <stp>BDP|6046533532007094725</stp>
        <tr r="L104" s="2"/>
      </tp>
      <tp t="s">
        <v>#N/A N/A</v>
        <stp/>
        <stp>BDP|2265063167672616668</stp>
        <tr r="E254" s="2"/>
      </tp>
      <tp t="s">
        <v>#N/A N/A</v>
        <stp/>
        <stp>BDP|8250820023810198218</stp>
        <tr r="K24" s="2"/>
      </tp>
      <tp t="s">
        <v>#N/A N/A</v>
        <stp/>
        <stp>BDP|1430174544725746136</stp>
        <tr r="D275" s="2"/>
      </tp>
      <tp t="s">
        <v>#N/A N/A</v>
        <stp/>
        <stp>BDP|7541773797779467023</stp>
        <tr r="G205" s="2"/>
      </tp>
      <tp t="s">
        <v>#N/A N/A</v>
        <stp/>
        <stp>BDP|8933852138845792607</stp>
        <tr r="K287" s="2"/>
      </tp>
      <tp t="s">
        <v>#N/A N/A</v>
        <stp/>
        <stp>BDP|5208028456277347769</stp>
        <tr r="F84" s="2"/>
      </tp>
      <tp t="s">
        <v>#N/A Requesting Data...4072915832</v>
        <stp/>
        <stp>BDP|6662879910397139807</stp>
        <tr r="I39" s="1"/>
        <tr r="G282" s="2"/>
      </tp>
      <tp t="s">
        <v>#N/A N/A</v>
        <stp/>
        <stp>BDP|4731102937153048508</stp>
        <tr r="H209" s="2"/>
      </tp>
      <tp t="s">
        <v>#N/A N/A</v>
        <stp/>
        <stp>BDP|7181673495671537962</stp>
        <tr r="F22" s="2"/>
      </tp>
      <tp t="s">
        <v>#N/A N/A</v>
        <stp/>
        <stp>BDP|7571019701196426111</stp>
        <tr r="H199" s="2"/>
      </tp>
      <tp t="s">
        <v>#N/A N/A</v>
        <stp/>
        <stp>BDP|4078859001438660420</stp>
        <tr r="K241" s="2"/>
      </tp>
      <tp t="s">
        <v>#N/A Requesting Data...3500537189</v>
        <stp/>
        <stp>BDP|5035074106661389425</stp>
        <tr r="F20" s="1"/>
        <tr r="D146" s="2"/>
      </tp>
      <tp t="s">
        <v>#N/A N/A</v>
        <stp/>
        <stp>BDP|8493915268023867454</stp>
        <tr r="K97" s="2"/>
      </tp>
      <tp t="s">
        <v>#N/A N/A</v>
        <stp/>
        <stp>BDP|6227744344404452169</stp>
        <tr r="D267" s="2"/>
      </tp>
      <tp t="s">
        <v>#N/A N/A</v>
        <stp/>
        <stp>BDP|2772083825938959838</stp>
        <tr r="F212" s="2"/>
      </tp>
      <tp t="s">
        <v>#N/A N/A</v>
        <stp/>
        <stp>BDP|8732420857771334817</stp>
        <tr r="N68" s="2"/>
      </tp>
      <tp t="s">
        <v>#N/A N/A</v>
        <stp/>
        <stp>BDP|6354081772342055395</stp>
        <tr r="G158" s="2"/>
      </tp>
      <tp t="s">
        <v>#N/A N/A</v>
        <stp/>
        <stp>BDP|7796062165078340966</stp>
        <tr r="M165" s="2"/>
      </tp>
      <tp t="s">
        <v>#N/A N/A</v>
        <stp/>
        <stp>BDP|4675001087379685565</stp>
        <tr r="N88" s="2"/>
      </tp>
      <tp t="s">
        <v>#N/A N/A</v>
        <stp/>
        <stp>BDP|2492346927346399554</stp>
        <tr r="I92" s="2"/>
      </tp>
      <tp t="s">
        <v>#N/A N/A</v>
        <stp/>
        <stp>BDP|2956734978282328000</stp>
        <tr r="H127" s="2"/>
      </tp>
      <tp t="s">
        <v>#N/A N/A</v>
        <stp/>
        <stp>BDP|6128843286955073328</stp>
        <tr r="F12" s="2"/>
      </tp>
      <tp t="s">
        <v>#N/A N/A</v>
        <stp/>
        <stp>BDP|8385395564999742486</stp>
        <tr r="L65" s="2"/>
      </tp>
      <tp t="s">
        <v>#N/A N/A</v>
        <stp/>
        <stp>BDP|7994561705563872145</stp>
        <tr r="E298" s="2"/>
      </tp>
      <tp t="s">
        <v>#N/A N/A</v>
        <stp/>
        <stp>BDP|4575384021851313494</stp>
        <tr r="K209" s="2"/>
      </tp>
      <tp t="s">
        <v>#N/A N/A</v>
        <stp/>
        <stp>BDP|1079526595535104804</stp>
        <tr r="M274" s="2"/>
      </tp>
      <tp t="s">
        <v>#N/A N/A</v>
        <stp/>
        <stp>BDP|5402416434465376759</stp>
        <tr r="D178" s="2"/>
      </tp>
      <tp t="s">
        <v>#N/A N/A</v>
        <stp/>
        <stp>BDP|6728056870769496815</stp>
        <tr r="L161" s="2"/>
      </tp>
      <tp t="s">
        <v>#N/A N/A</v>
        <stp/>
        <stp>BDP|9897653939609205512</stp>
        <tr r="K258" s="2"/>
      </tp>
      <tp t="s">
        <v>#N/A N/A</v>
        <stp/>
        <stp>BDP|9153769224534313879</stp>
        <tr r="L162" s="2"/>
      </tp>
      <tp t="s">
        <v>#N/A N/A</v>
        <stp/>
        <stp>BDP|3098363152056286313</stp>
        <tr r="N138" s="2"/>
      </tp>
      <tp t="s">
        <v>#N/A Requesting Data...3565359162</v>
        <stp/>
        <stp>BDP|8002945669477988001</stp>
        <tr r="K13" s="1"/>
        <tr r="I86" s="2"/>
      </tp>
      <tp t="s">
        <v>#N/A N/A</v>
        <stp/>
        <stp>BDP|7752998293887199086</stp>
        <tr r="D143" s="2"/>
      </tp>
      <tp t="s">
        <v>#N/A N/A</v>
        <stp/>
        <stp>BDP|2530298988801109912</stp>
        <tr r="N172" s="2"/>
      </tp>
      <tp t="s">
        <v>#N/A N/A</v>
        <stp/>
        <stp>BDP|4931897524446722872</stp>
        <tr r="C68" s="2"/>
      </tp>
      <tp t="s">
        <v>#N/A N/A</v>
        <stp/>
        <stp>BDP|6125000192439772602</stp>
        <tr r="J185" s="2"/>
      </tp>
      <tp t="s">
        <v>#N/A N/A</v>
        <stp/>
        <stp>BDP|7490008908477918016</stp>
        <tr r="G58" s="2"/>
      </tp>
      <tp t="s">
        <v>#N/A N/A</v>
        <stp/>
        <stp>BDP|7471099308876020111</stp>
        <tr r="G270" s="2"/>
      </tp>
      <tp t="s">
        <v>#N/A N/A</v>
        <stp/>
        <stp>BDP|8568262317739930294</stp>
        <tr r="L226" s="2"/>
      </tp>
      <tp t="s">
        <v>#N/A N/A</v>
        <stp/>
        <stp>BDP|9373095273478465696</stp>
        <tr r="L126" s="2"/>
      </tp>
      <tp t="s">
        <v>#N/A N/A</v>
        <stp/>
        <stp>BDP|8103232279998792584</stp>
        <tr r="M311" s="2"/>
      </tp>
      <tp t="s">
        <v>#N/A N/A</v>
        <stp/>
        <stp>BDP|1701403365605295654</stp>
        <tr r="G135" s="2"/>
      </tp>
      <tp t="s">
        <v>#N/A N/A</v>
        <stp/>
        <stp>BDP|4057449710252325324</stp>
        <tr r="C58" s="2"/>
      </tp>
      <tp t="s">
        <v>#N/A N/A</v>
        <stp/>
        <stp>BDP|2283557777871542108</stp>
        <tr r="N203" s="2"/>
      </tp>
      <tp t="s">
        <v>#N/A N/A</v>
        <stp/>
        <stp>BDP|2732566376604700458</stp>
        <tr r="N158" s="2"/>
      </tp>
      <tp t="s">
        <v>#N/A N/A</v>
        <stp/>
        <stp>BDP|4461402390569154009</stp>
        <tr r="J222" s="2"/>
      </tp>
      <tp t="s">
        <v>#N/A N/A</v>
        <stp/>
        <stp>BDP|1753149101614363449</stp>
        <tr r="L316" s="2"/>
      </tp>
      <tp t="s">
        <v>#N/A Requesting Data...2931166612</v>
        <stp/>
        <stp>BDP|2678313516770173051</stp>
        <tr r="E27" s="1"/>
        <tr r="C181" s="2"/>
      </tp>
      <tp t="s">
        <v>#N/A N/A</v>
        <stp/>
        <stp>BDP|7985418726415936420</stp>
        <tr r="F302" s="2"/>
      </tp>
      <tp t="s">
        <v>#N/A N/A</v>
        <stp/>
        <stp>BDP|8323847111097468674</stp>
        <tr r="D206" s="2"/>
      </tp>
      <tp t="s">
        <v>#N/A N/A</v>
        <stp/>
        <stp>BDP|6326822416179158632</stp>
        <tr r="E10" s="2"/>
      </tp>
      <tp t="s">
        <v>#N/A N/A</v>
        <stp/>
        <stp>BDP|3987134131612314220</stp>
        <tr r="C156" s="2"/>
      </tp>
      <tp t="s">
        <v>#N/A N/A</v>
        <stp/>
        <stp>BDP|1639177588729293010</stp>
        <tr r="N188" s="2"/>
      </tp>
      <tp t="s">
        <v>#N/A N/A</v>
        <stp/>
        <stp>BDP|3747357961291955608</stp>
        <tr r="H211" s="2"/>
      </tp>
      <tp t="s">
        <v>#N/A N/A</v>
        <stp/>
        <stp>BDP|9726612041109449394</stp>
        <tr r="D195" s="2"/>
      </tp>
      <tp t="s">
        <v>#N/A N/A</v>
        <stp/>
        <stp>BDP|2920757358578619981</stp>
        <tr r="F137" s="2"/>
      </tp>
      <tp t="s">
        <v>#N/A N/A</v>
        <stp/>
        <stp>BDP|3115380113616534657</stp>
        <tr r="F293" s="2"/>
      </tp>
      <tp t="s">
        <v>#N/A N/A</v>
        <stp/>
        <stp>BDP|8155915319920286112</stp>
        <tr r="L165" s="2"/>
      </tp>
      <tp t="s">
        <v>#N/A N/A</v>
        <stp/>
        <stp>BDP|5437860848660711873</stp>
        <tr r="D46" s="2"/>
      </tp>
      <tp t="s">
        <v>#N/A N/A</v>
        <stp/>
        <stp>BDP|6924601871577265119</stp>
        <tr r="N130" s="2"/>
      </tp>
      <tp t="s">
        <v>#N/A N/A</v>
        <stp/>
        <stp>BDP|5850810393210856599</stp>
        <tr r="K135" s="2"/>
      </tp>
      <tp t="s">
        <v>#N/A N/A</v>
        <stp/>
        <stp>BDP|8241429475102607881</stp>
        <tr r="K196" s="2"/>
      </tp>
      <tp t="s">
        <v>#N/A N/A</v>
        <stp/>
        <stp>BDP|6651686113414408422</stp>
        <tr r="N240" s="2"/>
      </tp>
      <tp t="s">
        <v>#N/A N/A</v>
        <stp/>
        <stp>BDP|9829855725533406177</stp>
        <tr r="I28" s="2"/>
      </tp>
      <tp t="s">
        <v>#N/A Requesting Data...4208178867</v>
        <stp/>
        <stp>BDP|5843489924606842446</stp>
        <tr r="M11" s="1"/>
        <tr r="K78" s="2"/>
      </tp>
      <tp t="s">
        <v>#N/A N/A</v>
        <stp/>
        <stp>BDP|9540481903258640408</stp>
        <tr r="F58" s="2"/>
      </tp>
      <tp t="s">
        <v>#N/A N/A</v>
        <stp/>
        <stp>BDP|6986654419319564987</stp>
        <tr r="J217" s="2"/>
      </tp>
      <tp t="s">
        <v>#N/A N/A</v>
        <stp/>
        <stp>BDP|6375931886732895468</stp>
        <tr r="N10" s="2"/>
      </tp>
      <tp t="s">
        <v>#N/A N/A</v>
        <stp/>
        <stp>BDP|5661058472172096194</stp>
        <tr r="G94" s="2"/>
      </tp>
      <tp t="s">
        <v>#N/A N/A</v>
        <stp/>
        <stp>BDP|6307604008252570367</stp>
        <tr r="L259" s="2"/>
      </tp>
      <tp t="s">
        <v>#N/A N/A</v>
        <stp/>
        <stp>BDP|9032972338954423627</stp>
        <tr r="C175" s="2"/>
      </tp>
      <tp t="s">
        <v>#N/A N/A</v>
        <stp/>
        <stp>BDP|4138589643085208117</stp>
        <tr r="L103" s="2"/>
      </tp>
      <tp t="s">
        <v>#N/A N/A</v>
        <stp/>
        <stp>BDP|3344531418823368526</stp>
        <tr r="L273" s="2"/>
      </tp>
      <tp t="s">
        <v>#N/A N/A</v>
        <stp/>
        <stp>BDP|2569380040894417001</stp>
        <tr r="D258" s="2"/>
      </tp>
      <tp t="s">
        <v>#N/A N/A</v>
        <stp/>
        <stp>BDP|9577138737839081381</stp>
        <tr r="D171" s="2"/>
      </tp>
      <tp t="s">
        <v>#N/A N/A</v>
        <stp/>
        <stp>BDP|3299407477259463884</stp>
        <tr r="H23" s="2"/>
      </tp>
      <tp t="s">
        <v>#N/A N/A</v>
        <stp/>
        <stp>BDP|2085147208720009258</stp>
        <tr r="C315" s="2"/>
      </tp>
      <tp t="s">
        <v>#N/A N/A</v>
        <stp/>
        <stp>BDP|3544278731995850620</stp>
        <tr r="M124" s="2"/>
      </tp>
      <tp t="s">
        <v>#N/A N/A</v>
        <stp/>
        <stp>BDP|2357409538334232009</stp>
        <tr r="C299" s="2"/>
      </tp>
      <tp t="s">
        <v>#N/A N/A</v>
        <stp/>
        <stp>BDP|7813517716117595539</stp>
        <tr r="C150" s="2"/>
      </tp>
      <tp t="s">
        <v>#N/A N/A</v>
        <stp/>
        <stp>BDP|4691517478521572646</stp>
        <tr r="H37" s="2"/>
      </tp>
      <tp t="s">
        <v>#N/A N/A</v>
        <stp/>
        <stp>BDP|2836244941876731346</stp>
        <tr r="K102" s="2"/>
      </tp>
      <tp t="s">
        <v>#N/A N/A</v>
        <stp/>
        <stp>BDP|5314555076903912571</stp>
        <tr r="N17" s="2"/>
      </tp>
      <tp t="s">
        <v>#N/A N/A</v>
        <stp/>
        <stp>BDP|2960313166617336130</stp>
        <tr r="K153" s="2"/>
      </tp>
      <tp t="s">
        <v>#N/A N/A</v>
        <stp/>
        <stp>BDP|4508984533817489846</stp>
        <tr r="J221" s="2"/>
      </tp>
      <tp t="s">
        <v>#N/A Requesting Data...3743696036</v>
        <stp/>
        <stp>BDP|3519763838723037553</stp>
        <tr r="L22" s="1"/>
        <tr r="J152" s="2"/>
      </tp>
      <tp t="s">
        <v>#N/A N/A</v>
        <stp/>
        <stp>BDP|3461099585282394851</stp>
        <tr r="N23" s="2"/>
      </tp>
      <tp t="s">
        <v>#N/A N/A</v>
        <stp/>
        <stp>BDP|9962104858248720484</stp>
        <tr r="J256" s="2"/>
      </tp>
      <tp t="s">
        <v>#N/A N/A</v>
        <stp/>
        <stp>BDP|1208594456267003730</stp>
        <tr r="M264" s="2"/>
      </tp>
      <tp t="s">
        <v>#N/A N/A</v>
        <stp/>
        <stp>BDP|8348590980935508104</stp>
        <tr r="F195" s="2"/>
      </tp>
      <tp t="s">
        <v>#N/A N/A</v>
        <stp/>
        <stp>BDP|1925350841895255205</stp>
        <tr r="H81" s="2"/>
      </tp>
      <tp t="s">
        <v>#N/A N/A</v>
        <stp/>
        <stp>BDP|1432425144425992545</stp>
        <tr r="G34" s="2"/>
      </tp>
      <tp t="s">
        <v>#N/A N/A</v>
        <stp/>
        <stp>BDP|2870969032819722047</stp>
        <tr r="D229" s="2"/>
      </tp>
      <tp t="s">
        <v>#N/A N/A</v>
        <stp/>
        <stp>BDP|3319281146715466162</stp>
        <tr r="H308" s="2"/>
      </tp>
      <tp t="s">
        <v>#N/A N/A</v>
        <stp/>
        <stp>BDP|8247190685148906881</stp>
        <tr r="E83" s="2"/>
      </tp>
      <tp t="s">
        <v>#N/A N/A</v>
        <stp/>
        <stp>BDP|3958505834903798757</stp>
        <tr r="N112" s="2"/>
      </tp>
      <tp t="s">
        <v>#N/A N/A</v>
        <stp/>
        <stp>BDP|7390574454287902169</stp>
        <tr r="F87" s="2"/>
      </tp>
      <tp t="s">
        <v>#N/A N/A</v>
        <stp/>
        <stp>BDP|8896974733081161210</stp>
        <tr r="G183" s="2"/>
      </tp>
      <tp t="s">
        <v>#N/A N/A</v>
        <stp/>
        <stp>BDP|1030900952305657988</stp>
        <tr r="D153" s="2"/>
      </tp>
      <tp t="s">
        <v>#N/A Requesting Data...3980785193</v>
        <stp/>
        <stp>BDP|1274400259525081476</stp>
        <tr r="F8" s="1"/>
        <tr r="D38" s="2"/>
      </tp>
      <tp t="s">
        <v>#N/A N/A</v>
        <stp/>
        <stp>BDP|1424938512851982906</stp>
        <tr r="D108" s="2"/>
      </tp>
      <tp t="s">
        <v>#N/A N/A</v>
        <stp/>
        <stp>BDP|1912448384668113440</stp>
        <tr r="G188" s="2"/>
      </tp>
      <tp t="s">
        <v>#N/A N/A</v>
        <stp/>
        <stp>BDP|3920479414402150574</stp>
        <tr r="I55" s="2"/>
      </tp>
      <tp t="s">
        <v>#N/A Requesting Data...3877876832</v>
        <stp/>
        <stp>BDP|5713394030437099326</stp>
        <tr r="L35" s="1"/>
        <tr r="J243" s="2"/>
      </tp>
      <tp t="s">
        <v>#N/A Requesting Data...3433714022</v>
        <stp/>
        <stp>BDP|5421104930701917711</stp>
        <tr r="L8" s="1"/>
        <tr r="J38" s="2"/>
      </tp>
      <tp t="s">
        <v>#N/A N/A</v>
        <stp/>
        <stp>BDP|5581437347003848759</stp>
        <tr r="G8" s="2"/>
      </tp>
      <tp t="s">
        <v>#N/A Requesting Data...3952952496</v>
        <stp/>
        <stp>BDP|2959591172621622085</stp>
        <tr r="N28" s="1"/>
        <tr r="L192" s="2"/>
      </tp>
      <tp t="s">
        <v>#N/A N/A</v>
        <stp/>
        <stp>BDP|9806940137506584429</stp>
        <tr r="D107" s="2"/>
      </tp>
      <tp t="s">
        <v>#N/A N/A</v>
        <stp/>
        <stp>BDP|5308092095945591866</stp>
        <tr r="D113" s="2"/>
      </tp>
      <tp t="s">
        <v>#N/A N/A</v>
        <stp/>
        <stp>BDP|3642154195283332989</stp>
        <tr r="G218" s="2"/>
      </tp>
      <tp t="s">
        <v>#N/A N/A</v>
        <stp/>
        <stp>BDP|5492503678427983187</stp>
        <tr r="E57" s="2"/>
      </tp>
      <tp t="s">
        <v>#N/A N/A</v>
        <stp/>
        <stp>BDP|6743372022721753784</stp>
        <tr r="N295" s="2"/>
      </tp>
      <tp t="s">
        <v>#N/A N/A</v>
        <stp/>
        <stp>BDP|8347482733626112842</stp>
        <tr r="D12" s="2"/>
      </tp>
      <tp t="s">
        <v>#N/A N/A</v>
        <stp/>
        <stp>BDP|5697183359485445512</stp>
        <tr r="H8" s="2"/>
      </tp>
      <tp t="s">
        <v>#N/A N/A</v>
        <stp/>
        <stp>BDP|2318368166676719065</stp>
        <tr r="C305" s="2"/>
      </tp>
      <tp t="s">
        <v>#N/A N/A</v>
        <stp/>
        <stp>BDP|4396409611220301039</stp>
        <tr r="K15" s="2"/>
      </tp>
      <tp t="s">
        <v>#N/A N/A</v>
        <stp/>
        <stp>BDP|8625188765298104685</stp>
        <tr r="N25" s="2"/>
      </tp>
      <tp t="s">
        <v>#N/A N/A</v>
        <stp/>
        <stp>BDP|5137743282529181243</stp>
        <tr r="H60" s="2"/>
      </tp>
      <tp t="s">
        <v>#N/A N/A</v>
        <stp/>
        <stp>BDP|5377309642741563261</stp>
        <tr r="G235" s="2"/>
      </tp>
      <tp t="s">
        <v>#N/A Requesting Data...4277789905</v>
        <stp/>
        <stp>BDP|2242808889857949402</stp>
        <tr r="K34" s="1"/>
        <tr r="I233" s="2"/>
      </tp>
      <tp t="s">
        <v>#N/A N/A</v>
        <stp/>
        <stp>BDP|2014644817351591548</stp>
        <tr r="L127" s="2"/>
      </tp>
      <tp t="s">
        <v>#N/A N/A</v>
        <stp/>
        <stp>BDP|4807588773095982287</stp>
        <tr r="E295" s="2"/>
      </tp>
      <tp t="s">
        <v>#N/A N/A</v>
        <stp/>
        <stp>BDP|3201171305761462279</stp>
        <tr r="N220" s="2"/>
      </tp>
      <tp t="s">
        <v>#N/A N/A</v>
        <stp/>
        <stp>BDP|4285851246559341016</stp>
        <tr r="C67" s="2"/>
      </tp>
      <tp t="s">
        <v>#N/A N/A</v>
        <stp/>
        <stp>BDP|7537003269949915969</stp>
        <tr r="D28" s="2"/>
      </tp>
      <tp t="s">
        <v>#N/A N/A</v>
        <stp/>
        <stp>BDP|8219458975522947889</stp>
        <tr r="E236" s="2"/>
      </tp>
      <tp t="s">
        <v>#N/A N/A</v>
        <stp/>
        <stp>BDP|6808293134721400725</stp>
        <tr r="M218" s="2"/>
      </tp>
      <tp t="s">
        <v>#N/A N/A</v>
        <stp/>
        <stp>BDP|6644763111064709557</stp>
        <tr r="E9" s="2"/>
      </tp>
      <tp t="s">
        <v>#N/A N/A</v>
        <stp/>
        <stp>BDP|3743552745606133554</stp>
        <tr r="H312" s="2"/>
      </tp>
      <tp t="s">
        <v>#N/A N/A</v>
        <stp/>
        <stp>BDP|9684275572878536551</stp>
        <tr r="D299" s="2"/>
      </tp>
      <tp t="s">
        <v>#N/A N/A</v>
        <stp/>
        <stp>BDP|4056538526223700127</stp>
        <tr r="D11" s="2"/>
      </tp>
      <tp t="s">
        <v>#N/A Requesting Data...3494262037</v>
        <stp/>
        <stp>BDP|3633433744291097313</stp>
        <tr r="M25" s="1"/>
        <tr r="K176" s="2"/>
      </tp>
      <tp t="s">
        <v>#N/A N/A</v>
        <stp/>
        <stp>BDP|2807595503503297502</stp>
        <tr r="M191" s="2"/>
      </tp>
      <tp t="s">
        <v>#N/A N/A</v>
        <stp/>
        <stp>BDP|4556543191191806888</stp>
        <tr r="N8" s="2"/>
      </tp>
      <tp t="s">
        <v>#N/A N/A</v>
        <stp/>
        <stp>BDP|4512736954602070528</stp>
        <tr r="G199" s="2"/>
      </tp>
      <tp t="s">
        <v>#N/A Requesting Data...4137253426</v>
        <stp/>
        <stp>BDP|6064754034201369226</stp>
        <tr r="N22" s="1"/>
        <tr r="L152" s="2"/>
      </tp>
      <tp t="s">
        <v>#N/A Requesting Data...2919913990</v>
        <stp/>
        <stp>BDP|2385932292504352718</stp>
        <tr r="J16" s="1"/>
        <tr r="H95" s="2"/>
      </tp>
      <tp t="s">
        <v>#N/A N/A</v>
        <stp/>
        <stp>BDP|3087038757812191553</stp>
        <tr r="J294" s="2"/>
      </tp>
      <tp t="s">
        <v>#N/A N/A</v>
        <stp/>
        <stp>BDP|8486463713164183807</stp>
        <tr r="C219" s="2"/>
      </tp>
      <tp t="s">
        <v>#N/A N/A</v>
        <stp/>
        <stp>BDP|1839845684005050587</stp>
        <tr r="C210" s="2"/>
      </tp>
      <tp t="s">
        <v>#N/A N/A</v>
        <stp/>
        <stp>BDP|3499490336205261099</stp>
        <tr r="C7" s="2"/>
      </tp>
      <tp t="s">
        <v>#N/A N/A</v>
        <stp/>
        <stp>BDP|7408567265857606204</stp>
        <tr r="N231" s="2"/>
      </tp>
      <tp t="s">
        <v>#N/A N/A</v>
        <stp/>
        <stp>BDP|9381933241002704776</stp>
        <tr r="F279" s="2"/>
      </tp>
      <tp t="s">
        <v>#N/A Requesting Data...3608392630</v>
        <stp/>
        <stp>BDP|6541483746436204182</stp>
        <tr r="K16" s="1"/>
        <tr r="I95" s="2"/>
      </tp>
      <tp t="s">
        <v>#N/A N/A</v>
        <stp/>
        <stp>BDP|3279718392935461943</stp>
        <tr r="E316" s="2"/>
      </tp>
      <tp t="s">
        <v>#N/A N/A</v>
        <stp/>
        <stp>BDP|4644770511107745419</stp>
        <tr r="C199" s="2"/>
      </tp>
      <tp t="s">
        <v>#N/A Requesting Data...4235210734</v>
        <stp/>
        <stp>BDP|5550168360071316264</stp>
        <tr r="P39" s="1"/>
        <tr r="N282" s="2"/>
      </tp>
      <tp t="s">
        <v>#N/A N/A</v>
        <stp/>
        <stp>BDP|6217168502011650764</stp>
        <tr r="C235" s="2"/>
      </tp>
      <tp t="s">
        <v>#N/A N/A</v>
        <stp/>
        <stp>BDP|1465427747777590724</stp>
        <tr r="K191" s="2"/>
      </tp>
      <tp t="s">
        <v>#N/A Requesting Data...3692717490</v>
        <stp/>
        <stp>BDP|5328828812638766520</stp>
        <tr r="E17" s="1"/>
        <tr r="C109" s="2"/>
      </tp>
      <tp t="s">
        <v>#N/A N/A</v>
        <stp/>
        <stp>BDP|3936179876611977577</stp>
        <tr r="M70" s="2"/>
      </tp>
      <tp t="s">
        <v>#N/A N/A</v>
        <stp/>
        <stp>BDP|8535040897049685964</stp>
        <tr r="J149" s="2"/>
      </tp>
      <tp t="s">
        <v>#N/A N/A</v>
        <stp/>
        <stp>BDP|2395137164093037722</stp>
        <tr r="N143" s="2"/>
      </tp>
      <tp t="s">
        <v>#N/A N/A</v>
        <stp/>
        <stp>BDP|6501253008655681083</stp>
        <tr r="D13" s="2"/>
      </tp>
      <tp t="s">
        <v>#N/A N/A</v>
        <stp/>
        <stp>BDP|6493416521222386314</stp>
        <tr r="E225" s="2"/>
      </tp>
      <tp t="s">
        <v>#N/A N/A</v>
        <stp/>
        <stp>BDP|9020660740208243224</stp>
        <tr r="J186" s="2"/>
      </tp>
      <tp t="s">
        <v>#N/A N/A</v>
        <stp/>
        <stp>BDP|3573035241470770662</stp>
        <tr r="H84" s="2"/>
      </tp>
      <tp t="s">
        <v>#N/A N/A</v>
        <stp/>
        <stp>BDP|2027104110870050368</stp>
        <tr r="N40" s="2"/>
      </tp>
      <tp t="s">
        <v>#N/A N/A</v>
        <stp/>
        <stp>BDP|9016682577349949007</stp>
        <tr r="G73" s="2"/>
      </tp>
      <tp t="s">
        <v>#N/A N/A</v>
        <stp/>
        <stp>BDP|4413818863852963995</stp>
        <tr r="H115" s="2"/>
      </tp>
      <tp t="s">
        <v>#N/A N/A</v>
        <stp/>
        <stp>BDP|6382577717886574507</stp>
        <tr r="H7" s="2"/>
      </tp>
      <tp t="s">
        <v>#N/A N/A</v>
        <stp/>
        <stp>BDP|4113266733335385106</stp>
        <tr r="G127" s="2"/>
      </tp>
      <tp t="s">
        <v>#N/A N/A</v>
        <stp/>
        <stp>BDP|1907979697127849766</stp>
        <tr r="G124" s="2"/>
      </tp>
      <tp t="s">
        <v>#N/A Requesting Data...3309489449</v>
        <stp/>
        <stp>BDP|9510120231919527346</stp>
        <tr r="H5" s="1"/>
        <tr r="F29" s="2"/>
      </tp>
      <tp t="s">
        <v>#N/A N/A</v>
        <stp/>
        <stp>BDP|4062702375130543570</stp>
        <tr r="D140" s="2"/>
      </tp>
      <tp t="s">
        <v>#N/A N/A</v>
        <stp/>
        <stp>BDP|6266601810556119643</stp>
        <tr r="L75" s="2"/>
      </tp>
      <tp t="s">
        <v>#N/A N/A</v>
        <stp/>
        <stp>BDP|1807429528584151249</stp>
        <tr r="E190" s="2"/>
      </tp>
      <tp t="s">
        <v>#N/A N/A</v>
        <stp/>
        <stp>BDP|1266101947747063223</stp>
        <tr r="J102" s="2"/>
      </tp>
      <tp t="s">
        <v>#N/A N/A</v>
        <stp/>
        <stp>BDP|2527179656861272610</stp>
        <tr r="C208" s="2"/>
      </tp>
      <tp t="s">
        <v>#N/A Requesting Data...3603938211</v>
        <stp/>
        <stp>BDP|2966107400293616186</stp>
        <tr r="H24" s="1"/>
        <tr r="F157" s="2"/>
      </tp>
      <tp t="s">
        <v>#N/A N/A</v>
        <stp/>
        <stp>BDP|9016503960073721806</stp>
        <tr r="G24" s="2"/>
      </tp>
      <tp t="s">
        <v>#N/A N/A</v>
        <stp/>
        <stp>BDP|8387053693124176406</stp>
        <tr r="L257" s="2"/>
      </tp>
      <tp t="s">
        <v>#N/A N/A</v>
        <stp/>
        <stp>BDP|6982418778975512114</stp>
        <tr r="D230" s="2"/>
      </tp>
      <tp t="s">
        <v>#N/A N/A</v>
        <stp/>
        <stp>BDP|2449954905402613861</stp>
        <tr r="M96" s="2"/>
      </tp>
      <tp t="s">
        <v>#N/A N/A</v>
        <stp/>
        <stp>BDP|3718036694599350270</stp>
        <tr r="E62" s="2"/>
      </tp>
      <tp t="s">
        <v>#N/A Requesting Data...2844886392</v>
        <stp/>
        <stp>BDP|1004690108345142340</stp>
        <tr r="I21" s="1"/>
        <tr r="G148" s="2"/>
      </tp>
      <tp t="s">
        <v>#N/A N/A</v>
        <stp/>
        <stp>BDP|7850156479475684576</stp>
        <tr r="G153" s="2"/>
      </tp>
      <tp t="s">
        <v>#N/A N/A</v>
        <stp/>
        <stp>BDP|6262428164190305528</stp>
        <tr r="J58" s="2"/>
      </tp>
      <tp t="s">
        <v>#N/A Requesting Data...3177287291</v>
        <stp/>
        <stp>BDP|3227860494575142645</stp>
        <tr r="K38" s="1"/>
        <tr r="I278" s="2"/>
      </tp>
      <tp t="s">
        <v>#N/A N/A</v>
        <stp/>
        <stp>BDP|4921387846054723651</stp>
        <tr r="N54" s="2"/>
      </tp>
      <tp t="s">
        <v>#N/A N/A</v>
        <stp/>
        <stp>BDP|2003142939505742709</stp>
        <tr r="H92" s="2"/>
      </tp>
      <tp t="s">
        <v>#N/A N/A</v>
        <stp/>
        <stp>BDP|5617308643118743880</stp>
        <tr r="D207" s="2"/>
      </tp>
      <tp t="s">
        <v>#N/A N/A</v>
        <stp/>
        <stp>BDP|6274261893828837751</stp>
        <tr r="C169" s="2"/>
      </tp>
      <tp t="s">
        <v>#N/A N/A</v>
        <stp/>
        <stp>BDP|7899764057247784046</stp>
        <tr r="L77" s="2"/>
      </tp>
      <tp t="s">
        <v>#N/A N/A</v>
        <stp/>
        <stp>BDP|9070749893556487392</stp>
        <tr r="E256" s="2"/>
      </tp>
      <tp t="s">
        <v>#N/A Requesting Data...3817718381</v>
        <stp/>
        <stp>BDP|5218481056666030067</stp>
        <tr r="H16" s="1"/>
        <tr r="F95" s="2"/>
      </tp>
      <tp t="s">
        <v>#N/A N/A</v>
        <stp/>
        <stp>BDP|1011072608144288778</stp>
        <tr r="I44" s="2"/>
      </tp>
      <tp t="s">
        <v>#N/A N/A</v>
        <stp/>
        <stp>BDP|1960275793791268956</stp>
        <tr r="F256" s="2"/>
      </tp>
      <tp t="s">
        <v>#N/A Requesting Data...3613014403</v>
        <stp/>
        <stp>BDP|6314612544832880459</stp>
        <tr r="K32" s="1"/>
        <tr r="I204" s="2"/>
      </tp>
      <tp t="s">
        <v>#N/A N/A</v>
        <stp/>
        <stp>BDP|8195106333389962105</stp>
        <tr r="G54" s="2"/>
      </tp>
      <tp t="s">
        <v>#N/A N/A</v>
        <stp/>
        <stp>BDP|1172877128019407010</stp>
        <tr r="G311" s="2"/>
      </tp>
      <tp t="s">
        <v>#N/A N/A</v>
        <stp/>
        <stp>BDP|6217340844230926302</stp>
        <tr r="G256" s="2"/>
      </tp>
      <tp t="s">
        <v>#N/A N/A</v>
        <stp/>
        <stp>BDP|3463134378602040547</stp>
        <tr r="H79" s="2"/>
      </tp>
      <tp t="s">
        <v>#N/A N/A</v>
        <stp/>
        <stp>BDP|2792991304381421861</stp>
        <tr r="G273" s="2"/>
      </tp>
      <tp t="s">
        <v>#N/A N/A</v>
        <stp/>
        <stp>BDP|7260165935857856016</stp>
        <tr r="H171" s="2"/>
      </tp>
      <tp t="s">
        <v>#N/A N/A</v>
        <stp/>
        <stp>BDP|6108195446851113073</stp>
        <tr r="I228" s="2"/>
      </tp>
      <tp t="s">
        <v>#N/A N/A</v>
        <stp/>
        <stp>BDP|2069117464934949342</stp>
        <tr r="I252" s="2"/>
      </tp>
      <tp t="s">
        <v>#N/A N/A</v>
        <stp/>
        <stp>BDP|4809027872602985398</stp>
        <tr r="L10" s="2"/>
      </tp>
      <tp t="s">
        <v>#N/A N/A</v>
        <stp/>
        <stp>BDP|2746986495780401064</stp>
        <tr r="N212" s="2"/>
      </tp>
      <tp t="s">
        <v>#N/A N/A</v>
        <stp/>
        <stp>BDP|2892807662567289901</stp>
        <tr r="K44" s="2"/>
      </tp>
      <tp t="s">
        <v>#N/A N/A</v>
        <stp/>
        <stp>BDP|7254183115536712307</stp>
        <tr r="E203" s="2"/>
      </tp>
      <tp t="s">
        <v>#N/A Requesting Data...4045247036</v>
        <stp/>
        <stp>BDP|7420821100265978871</stp>
        <tr r="K37" s="1"/>
        <tr r="I276" s="2"/>
      </tp>
      <tp t="s">
        <v>#N/A Requesting Data...3730696950</v>
        <stp/>
        <stp>BDP|1709906550879809678</stp>
        <tr r="I18" s="1"/>
        <tr r="G131" s="2"/>
      </tp>
      <tp t="s">
        <v>#N/A N/A</v>
        <stp/>
        <stp>BDP|6409924723658869749</stp>
        <tr r="F98" s="2"/>
      </tp>
      <tp t="s">
        <v>#N/A N/A</v>
        <stp/>
        <stp>BDP|4972317644970220175</stp>
        <tr r="K272" s="2"/>
      </tp>
      <tp t="s">
        <v>#N/A N/A</v>
        <stp/>
        <stp>BDP|5123735904441622194</stp>
        <tr r="C59" s="2"/>
      </tp>
      <tp t="s">
        <v>#N/A N/A</v>
        <stp/>
        <stp>BDP|4980095448580092215</stp>
        <tr r="M184" s="2"/>
      </tp>
      <tp t="s">
        <v>#N/A Requesting Data...3330023124</v>
        <stp/>
        <stp>BDP|6866057815893186607</stp>
        <tr r="L10" s="1"/>
        <tr r="J74" s="2"/>
      </tp>
      <tp t="s">
        <v>#N/A N/A</v>
        <stp/>
        <stp>BDP|3862010330531177368</stp>
        <tr r="J121" s="2"/>
      </tp>
      <tp t="s">
        <v>#N/A N/A</v>
        <stp/>
        <stp>BDP|5827114927597852385</stp>
        <tr r="H48" s="2"/>
      </tp>
      <tp t="s">
        <v>#N/A N/A</v>
        <stp/>
        <stp>BDP|6368984691437674322</stp>
        <tr r="G222" s="2"/>
      </tp>
      <tp t="s">
        <v>#N/A N/A</v>
        <stp/>
        <stp>BDP|8916043571068209507</stp>
        <tr r="J314" s="2"/>
      </tp>
      <tp t="s">
        <v>#N/A N/A</v>
        <stp/>
        <stp>BDP|9416344273029433692</stp>
        <tr r="I194" s="2"/>
      </tp>
      <tp t="s">
        <v>#N/A N/A</v>
        <stp/>
        <stp>BDP|2648604681457823912</stp>
        <tr r="C266" s="2"/>
      </tp>
      <tp t="s">
        <v>#N/A N/A</v>
        <stp/>
        <stp>BDP|5536462021712917351</stp>
        <tr r="G234" s="2"/>
      </tp>
      <tp t="s">
        <v>#N/A N/A</v>
        <stp/>
        <stp>BDP|5123218167155199698</stp>
        <tr r="G220" s="2"/>
      </tp>
      <tp t="s">
        <v>#N/A N/A</v>
        <stp/>
        <stp>BDP|5219479350201315797</stp>
        <tr r="M271" s="2"/>
      </tp>
      <tp t="s">
        <v>#N/A N/A</v>
        <stp/>
        <stp>BDP|6521491371553285400</stp>
        <tr r="M88" s="2"/>
      </tp>
      <tp t="s">
        <v>#N/A N/A</v>
        <stp/>
        <stp>BDP|2243988612881756901</stp>
        <tr r="D165" s="2"/>
      </tp>
      <tp t="s">
        <v>#N/A N/A</v>
        <stp/>
        <stp>BDP|4235230537511031690</stp>
        <tr r="H122" s="2"/>
      </tp>
      <tp t="s">
        <v>#N/A Requesting Data...3469000086</v>
        <stp/>
        <stp>BDP|9160281542465726835</stp>
        <tr r="E38" s="1"/>
        <tr r="C278" s="2"/>
      </tp>
      <tp t="s">
        <v>#N/A N/A</v>
        <stp/>
        <stp>BDP|5879016683227198873</stp>
        <tr r="G231" s="2"/>
      </tp>
      <tp t="s">
        <v>#N/A N/A</v>
        <stp/>
        <stp>BDP|8937989335367832703</stp>
        <tr r="C94" s="2"/>
      </tp>
      <tp t="s">
        <v>#N/A N/A</v>
        <stp/>
        <stp>BDP|1399816752727813941</stp>
        <tr r="F309" s="2"/>
      </tp>
      <tp t="s">
        <v>#N/A Requesting Data...3604207403</v>
        <stp/>
        <stp>BDP|3097078379891589770</stp>
        <tr r="G26" s="1"/>
        <tr r="E180" s="2"/>
      </tp>
      <tp t="s">
        <v>#N/A Requesting Data...3018119991</v>
        <stp/>
        <stp>BDP|5042658845190940559</stp>
        <tr r="M31" s="1"/>
        <tr r="K200" s="2"/>
      </tp>
      <tp t="s">
        <v>#N/A N/A</v>
        <stp/>
        <stp>BDP|9951116123468446030</stp>
        <tr r="G277" s="2"/>
      </tp>
      <tp t="s">
        <v>#N/A Requesting Data...3071091495</v>
        <stp/>
        <stp>BDP|2981345571723801788</stp>
        <tr r="G27" s="1"/>
        <tr r="E181" s="2"/>
      </tp>
      <tp t="s">
        <v>#N/A N/A</v>
        <stp/>
        <stp>BDP|7702229323105345099</stp>
        <tr r="H194" s="2"/>
      </tp>
      <tp t="s">
        <v>#N/A N/A</v>
        <stp/>
        <stp>BDP|5800337366460413257</stp>
        <tr r="M22" s="2"/>
      </tp>
      <tp t="s">
        <v>#N/A N/A</v>
        <stp/>
        <stp>BDP|5630257119473406727</stp>
        <tr r="H269" s="2"/>
      </tp>
      <tp t="s">
        <v>#N/A N/A</v>
        <stp/>
        <stp>BDP|6550592651090140418</stp>
        <tr r="F114" s="2"/>
      </tp>
      <tp t="s">
        <v>#N/A N/A</v>
        <stp/>
        <stp>BDP|5068623701796686786</stp>
        <tr r="I264" s="2"/>
      </tp>
      <tp t="s">
        <v>#N/A Requesting Data...2974674180</v>
        <stp/>
        <stp>BDP|6722843198424511138</stp>
        <tr r="G28" s="1"/>
        <tr r="E192" s="2"/>
      </tp>
      <tp t="s">
        <v>#N/A N/A</v>
        <stp/>
        <stp>BDP|5265467682109943224</stp>
        <tr r="C256" s="2"/>
      </tp>
      <tp t="s">
        <v>#N/A N/A</v>
        <stp/>
        <stp>BDP|2751872687423239382</stp>
        <tr r="I309" s="2"/>
      </tp>
      <tp t="s">
        <v>#N/A N/A</v>
        <stp/>
        <stp>BDP|2328216460075705186</stp>
        <tr r="L124" s="2"/>
      </tp>
      <tp t="s">
        <v>#N/A N/A</v>
        <stp/>
        <stp>BDP|2633695974310541135</stp>
        <tr r="J228" s="2"/>
      </tp>
      <tp t="s">
        <v>#N/A N/A</v>
        <stp/>
        <stp>BDP|2620180931782576074</stp>
        <tr r="N171" s="2"/>
      </tp>
      <tp t="s">
        <v>#N/A N/A</v>
        <stp/>
        <stp>BDP|9048350689263591349</stp>
        <tr r="J170" s="2"/>
      </tp>
      <tp t="s">
        <v>#N/A N/A</v>
        <stp/>
        <stp>BDP|8400519483596141151</stp>
        <tr r="D32" s="2"/>
      </tp>
      <tp t="s">
        <v>#N/A N/A</v>
        <stp/>
        <stp>BDP|4671767842923525653</stp>
        <tr r="J290" s="2"/>
      </tp>
      <tp t="s">
        <v>#N/A N/A</v>
        <stp/>
        <stp>BDP|5360427231928432861</stp>
        <tr r="K227" s="2"/>
      </tp>
      <tp t="s">
        <v>#N/A N/A</v>
        <stp/>
        <stp>BDP|4871374428404798323</stp>
        <tr r="L315" s="2"/>
      </tp>
      <tp t="s">
        <v>#N/A N/A</v>
        <stp/>
        <stp>BDP|7743003354299422956</stp>
        <tr r="J14" s="2"/>
      </tp>
      <tp t="s">
        <v>#N/A N/A</v>
        <stp/>
        <stp>BDP|2676126571224660215</stp>
        <tr r="F269" s="2"/>
      </tp>
      <tp t="s">
        <v>#N/A N/A</v>
        <stp/>
        <stp>BDP|2665347917306098479</stp>
        <tr r="J190" s="2"/>
      </tp>
      <tp t="s">
        <v>#N/A N/A</v>
        <stp/>
        <stp>BDP|2461400424523336515</stp>
        <tr r="E84" s="2"/>
      </tp>
      <tp t="s">
        <v>#N/A Requesting Data...4052700140</v>
        <stp/>
        <stp>BDP|7018800284346707316</stp>
        <tr r="L25" s="1"/>
        <tr r="J176" s="2"/>
      </tp>
      <tp t="s">
        <v>#N/A N/A</v>
        <stp/>
        <stp>BDP|6731212631715247074</stp>
        <tr r="E194" s="2"/>
      </tp>
      <tp t="s">
        <v>#N/A N/A</v>
        <stp/>
        <stp>BDP|7472896190852681689</stp>
        <tr r="G132" s="2"/>
      </tp>
      <tp t="s">
        <v>#N/A N/A</v>
        <stp/>
        <stp>BDP|7456747622620797062</stp>
        <tr r="F105" s="2"/>
      </tp>
      <tp t="s">
        <v>#N/A N/A</v>
        <stp/>
        <stp>BDP|9046909032942438358</stp>
        <tr r="F44" s="2"/>
      </tp>
      <tp t="s">
        <v>#N/A N/A</v>
        <stp/>
        <stp>BDP|6560604261011062574</stp>
        <tr r="F62" s="2"/>
      </tp>
      <tp t="s">
        <v>#N/A N/A</v>
        <stp/>
        <stp>BDP|1814468626535297097</stp>
        <tr r="F160" s="2"/>
      </tp>
      <tp t="s">
        <v>#N/A N/A</v>
        <stp/>
        <stp>BDP|3089678334734915093</stp>
        <tr r="G11" s="2"/>
      </tp>
      <tp t="s">
        <v>#N/A N/A</v>
        <stp/>
        <stp>BDP|9702898390932832854</stp>
        <tr r="K283" s="2"/>
      </tp>
      <tp t="s">
        <v>#N/A N/A</v>
        <stp/>
        <stp>BDP|9367277649829410493</stp>
        <tr r="J11" s="2"/>
      </tp>
      <tp t="s">
        <v>#N/A N/A</v>
        <stp/>
        <stp>BDP|5526000784559459653</stp>
        <tr r="K9" s="2"/>
      </tp>
      <tp t="s">
        <v>#N/A N/A</v>
        <stp/>
        <stp>BDP|4241660624112274022</stp>
        <tr r="N71" s="2"/>
      </tp>
      <tp t="s">
        <v>#N/A N/A</v>
        <stp/>
        <stp>BDP|6530410414722104313</stp>
        <tr r="G97" s="2"/>
      </tp>
      <tp t="s">
        <v>#N/A N/A</v>
        <stp/>
        <stp>BDP|1014603067767708403</stp>
        <tr r="M120" s="2"/>
      </tp>
      <tp t="s">
        <v>#N/A N/A</v>
        <stp/>
        <stp>BDP|3767349650472614543</stp>
        <tr r="N32" s="2"/>
      </tp>
      <tp t="s">
        <v>#N/A N/A</v>
        <stp/>
        <stp>BDP|5297113725097111362</stp>
        <tr r="H201" s="2"/>
      </tp>
      <tp t="s">
        <v>#N/A Requesting Data...4038326161</v>
        <stp/>
        <stp>BDP|4425076961772194220</stp>
        <tr r="J38" s="1"/>
        <tr r="H278" s="2"/>
      </tp>
      <tp t="s">
        <v>#N/A N/A</v>
        <stp/>
        <stp>BDP|1891395618505927414</stp>
        <tr r="G121" s="2"/>
      </tp>
      <tp t="s">
        <v>#N/A N/A</v>
        <stp/>
        <stp>BDP|5604175860412413243</stp>
        <tr r="J188" s="2"/>
      </tp>
      <tp t="s">
        <v>#N/A N/A</v>
        <stp/>
        <stp>BDP|2801196946564173173</stp>
        <tr r="F201" s="2"/>
      </tp>
      <tp t="s">
        <v>#N/A N/A</v>
        <stp/>
        <stp>BDP|2667500435052609440</stp>
        <tr r="M129" s="2"/>
      </tp>
      <tp t="s">
        <v>#N/A N/A</v>
        <stp/>
        <stp>BDP|8103958666021428406</stp>
        <tr r="J267" s="2"/>
      </tp>
      <tp t="s">
        <v>#N/A N/A</v>
        <stp/>
        <stp>BDP|6597337269726167780</stp>
        <tr r="D56" s="2"/>
      </tp>
      <tp t="s">
        <v>#N/A N/A</v>
        <stp/>
        <stp>BDP|5277324840267295749</stp>
        <tr r="G187" s="2"/>
      </tp>
      <tp t="s">
        <v>#N/A N/A</v>
        <stp/>
        <stp>BDP|8767513591711462751</stp>
        <tr r="E212" s="2"/>
      </tp>
      <tp t="s">
        <v>#N/A N/A</v>
        <stp/>
        <stp>BDP|4516050607470356638</stp>
        <tr r="J206" s="2"/>
      </tp>
      <tp t="s">
        <v>#N/A N/A</v>
        <stp/>
        <stp>BDP|9589218586551757028</stp>
        <tr r="J255" s="2"/>
      </tp>
      <tp t="s">
        <v>#N/A N/A</v>
        <stp/>
        <stp>BDP|2441544480705507826</stp>
        <tr r="D226" s="2"/>
      </tp>
      <tp t="s">
        <v>#N/A N/A</v>
        <stp/>
        <stp>BDP|2724005205493651336</stp>
        <tr r="C52" s="2"/>
      </tp>
      <tp t="s">
        <v>#N/A N/A</v>
        <stp/>
        <stp>BDP|6118431806783777340</stp>
        <tr r="F112" s="2"/>
      </tp>
      <tp t="s">
        <v>#N/A N/A</v>
        <stp/>
        <stp>BDP|1629513357067622410</stp>
        <tr r="M294" s="2"/>
      </tp>
      <tp t="s">
        <v>#N/A N/A</v>
        <stp/>
        <stp>BDP|1816340791681911835</stp>
        <tr r="L231" s="2"/>
      </tp>
      <tp t="s">
        <v>#N/A Requesting Data...3814430980</v>
        <stp/>
        <stp>BDP|7207224012296164045</stp>
        <tr r="O31" s="1"/>
        <tr r="M200" s="2"/>
      </tp>
      <tp t="s">
        <v>#N/A N/A</v>
        <stp/>
        <stp>BDP|7577018524700195766</stp>
        <tr r="M211" s="2"/>
      </tp>
      <tp t="s">
        <v>#N/A N/A</v>
        <stp/>
        <stp>BDP|9165888195198875200</stp>
        <tr r="M41" s="2"/>
      </tp>
      <tp t="s">
        <v>#N/A N/A</v>
        <stp/>
        <stp>BDP|1387676983594493979</stp>
        <tr r="D166" s="2"/>
      </tp>
      <tp t="s">
        <v>#N/A N/A</v>
        <stp/>
        <stp>BDP|8753977315063083110</stp>
        <tr r="K312" s="2"/>
      </tp>
      <tp t="s">
        <v>#N/A N/A</v>
        <stp/>
        <stp>BDP|4628125701624856397</stp>
        <tr r="D69" s="2"/>
      </tp>
      <tp t="s">
        <v>#N/A N/A</v>
        <stp/>
        <stp>BDP|8681833004892377061</stp>
        <tr r="G9" s="2"/>
      </tp>
      <tp t="s">
        <v>#N/A N/A</v>
        <stp/>
        <stp>BDP|7480025323894497358</stp>
        <tr r="J182" s="2"/>
      </tp>
      <tp t="s">
        <v>#N/A N/A</v>
        <stp/>
        <stp>BDP|2140420833150425703</stp>
        <tr r="F261" s="2"/>
      </tp>
      <tp t="s">
        <v>#N/A Requesting Data...3466561416</v>
        <stp/>
        <stp>BDP|9340187387334823605</stp>
        <tr r="O13" s="1"/>
        <tr r="M86" s="2"/>
      </tp>
      <tp t="s">
        <v>#N/A N/A</v>
        <stp/>
        <stp>BDP|5903495314755795762</stp>
        <tr r="K168" s="2"/>
      </tp>
      <tp t="s">
        <v>#N/A N/A</v>
        <stp/>
        <stp>BDP|7207577495438675139</stp>
        <tr r="I115" s="2"/>
      </tp>
      <tp t="s">
        <v>#N/A N/A</v>
        <stp/>
        <stp>BDP|3160298978350678434</stp>
        <tr r="G213" s="2"/>
      </tp>
      <tp t="s">
        <v>#N/A N/A</v>
        <stp/>
        <stp>BDP|4271518040482345551</stp>
        <tr r="J138" s="2"/>
      </tp>
      <tp t="s">
        <v>#N/A N/A</v>
        <stp/>
        <stp>BDP|1208425501494747334</stp>
        <tr r="C250" s="2"/>
      </tp>
      <tp t="s">
        <v>#N/A N/A</v>
        <stp/>
        <stp>BDP|5209614843646775326</stp>
        <tr r="D234" s="2"/>
      </tp>
      <tp t="s">
        <v>#N/A N/A</v>
        <stp/>
        <stp>BDP|7757447870833390551</stp>
        <tr r="G170" s="2"/>
      </tp>
      <tp t="s">
        <v>#N/A N/A</v>
        <stp/>
        <stp>BDP|9744213857895124959</stp>
        <tr r="L202" s="2"/>
      </tp>
      <tp t="s">
        <v>#N/A N/A</v>
        <stp/>
        <stp>BDP|2298337044592484545</stp>
        <tr r="F162" s="2"/>
      </tp>
      <tp t="s">
        <v>#N/A N/A</v>
        <stp/>
        <stp>BDP|7765202652673344130</stp>
        <tr r="F4" s="2"/>
      </tp>
      <tp t="s">
        <v>#N/A N/A</v>
        <stp/>
        <stp>BDP|7765245093636201988</stp>
        <tr r="E289" s="2"/>
      </tp>
      <tp t="s">
        <v>#N/A Requesting Data...3431372603</v>
        <stp/>
        <stp>BDP|3013769560118874940</stp>
        <tr r="N30" s="1"/>
        <tr r="L197" s="2"/>
      </tp>
      <tp t="s">
        <v>#N/A N/A</v>
        <stp/>
        <stp>BDP|9474984496099802384</stp>
        <tr r="H6" s="2"/>
      </tp>
      <tp t="s">
        <v>#N/A Requesting Data...3533623698</v>
        <stp/>
        <stp>BDP|8544929699879397265</stp>
        <tr r="K30" s="1"/>
        <tr r="I197" s="2"/>
      </tp>
      <tp t="s">
        <v>#N/A N/A</v>
        <stp/>
        <stp>BDP|1116982847846043956</stp>
        <tr r="L5" s="2"/>
      </tp>
      <tp t="s">
        <v>#N/A N/A</v>
        <stp/>
        <stp>BDP|4433991234204005928</stp>
        <tr r="G106" s="2"/>
      </tp>
      <tp t="s">
        <v>#N/A N/A</v>
        <stp/>
        <stp>BDP|1664092434676205728</stp>
        <tr r="N63" s="2"/>
      </tp>
      <tp t="s">
        <v>#N/A N/A</v>
        <stp/>
        <stp>BDP|3147981137949340364</stp>
        <tr r="M210" s="2"/>
      </tp>
      <tp t="s">
        <v>#N/A N/A</v>
        <stp/>
        <stp>BDP|4859027336553377742</stp>
        <tr r="I114" s="2"/>
      </tp>
      <tp t="s">
        <v>#N/A N/A</v>
        <stp/>
        <stp>BDP|6895141405501737563</stp>
        <tr r="L138" s="2"/>
      </tp>
      <tp t="s">
        <v>#N/A Requesting Data...3581355715</v>
        <stp/>
        <stp>BDP|2144619995069992749</stp>
        <tr r="J39" s="1"/>
        <tr r="H282" s="2"/>
      </tp>
      <tp t="s">
        <v>#N/A N/A</v>
        <stp/>
        <stp>BDP|1509035008734762618</stp>
        <tr r="N290" s="2"/>
      </tp>
      <tp t="s">
        <v>#N/A N/A</v>
        <stp/>
        <stp>BDP|3948241012426374546</stp>
        <tr r="C61" s="2"/>
      </tp>
      <tp t="s">
        <v>#N/A N/A</v>
        <stp/>
        <stp>BDP|9132900107432919175</stp>
        <tr r="K101" s="2"/>
      </tp>
      <tp t="s">
        <v>#N/A N/A</v>
        <stp/>
        <stp>BDP|6065344325647910307</stp>
        <tr r="F118" s="2"/>
      </tp>
      <tp t="s">
        <v>#N/A N/A</v>
        <stp/>
        <stp>BDP|7727079443968986828</stp>
        <tr r="C145" s="2"/>
      </tp>
      <tp t="s">
        <v>#N/A N/A</v>
        <stp/>
        <stp>BDP|2508886796782648252</stp>
        <tr r="D8" s="2"/>
      </tp>
      <tp t="s">
        <v>#N/A N/A</v>
        <stp/>
        <stp>BDP|6043662778390571434</stp>
        <tr r="M265" s="2"/>
      </tp>
      <tp t="s">
        <v>#N/A N/A</v>
        <stp/>
        <stp>BDP|6307994720889663757</stp>
        <tr r="I179" s="2"/>
      </tp>
      <tp t="s">
        <v>#N/A N/A</v>
        <stp/>
        <stp>BDP|5934214759688853907</stp>
        <tr r="M179" s="2"/>
      </tp>
      <tp t="s">
        <v>#N/A Requesting Data...4192353166</v>
        <stp/>
        <stp>BDP|8745141589271677354</stp>
        <tr r="J4" s="1"/>
        <tr r="H21" s="2"/>
      </tp>
      <tp t="s">
        <v>#N/A N/A</v>
        <stp/>
        <stp>BDP|2829640374321059110</stp>
        <tr r="N52" s="2"/>
      </tp>
      <tp t="s">
        <v>#N/A N/A</v>
        <stp/>
        <stp>BDP|2576001633120902261</stp>
        <tr r="H173" s="2"/>
      </tp>
      <tp t="s">
        <v>#N/A N/A</v>
        <stp/>
        <stp>BDP|5454584334213582334</stp>
        <tr r="C220" s="2"/>
      </tp>
      <tp t="s">
        <v>#N/A N/A</v>
        <stp/>
        <stp>BDP|6489283825607155267</stp>
        <tr r="D16" s="2"/>
      </tp>
      <tp t="s">
        <v>#N/A N/A</v>
        <stp/>
        <stp>BDP|2799190181781083919</stp>
        <tr r="L87" s="2"/>
      </tp>
      <tp t="s">
        <v>#N/A N/A</v>
        <stp/>
        <stp>BDP|9669146615238185284</stp>
        <tr r="N147" s="2"/>
      </tp>
      <tp t="s">
        <v>#N/A N/A</v>
        <stp/>
        <stp>BDP|9606871149645116371</stp>
        <tr r="G167" s="2"/>
      </tp>
      <tp t="s">
        <v>#N/A N/A</v>
        <stp/>
        <stp>BDP|6872326824284665063</stp>
        <tr r="F208" s="2"/>
      </tp>
      <tp t="s">
        <v>#N/A Requesting Data...3367596792</v>
        <stp/>
        <stp>BDP|3152711528024635101</stp>
        <tr r="I12" s="1"/>
        <tr r="G85" s="2"/>
      </tp>
      <tp t="s">
        <v>#N/A N/A</v>
        <stp/>
        <stp>BDP|9929546025935266852</stp>
        <tr r="J231" s="2"/>
      </tp>
      <tp t="s">
        <v>#N/A N/A</v>
        <stp/>
        <stp>BDP|9710338699533127334</stp>
        <tr r="L150" s="2"/>
      </tp>
      <tp t="s">
        <v>#N/A N/A</v>
        <stp/>
        <stp>BDP|4054609618679416931</stp>
        <tr r="N159" s="2"/>
      </tp>
      <tp t="s">
        <v>#N/A N/A</v>
        <stp/>
        <stp>BDP|2112869527179621294</stp>
        <tr r="J248" s="2"/>
      </tp>
      <tp t="s">
        <v>#N/A N/A</v>
        <stp/>
        <stp>BDP|5695233631510953725</stp>
        <tr r="J172" s="2"/>
      </tp>
      <tp t="s">
        <v>#N/A N/A</v>
        <stp/>
        <stp>BDP|9678352805130921909</stp>
        <tr r="E110" s="2"/>
      </tp>
      <tp t="s">
        <v>#N/A N/A</v>
        <stp/>
        <stp>BDP|2649515469260249239</stp>
        <tr r="L144" s="2"/>
      </tp>
      <tp t="s">
        <v>#N/A N/A</v>
        <stp/>
        <stp>BDP|5391456446880781681</stp>
        <tr r="H295" s="2"/>
      </tp>
      <tp t="s">
        <v>#N/A N/A</v>
        <stp/>
        <stp>BDP|5813350710140096429</stp>
        <tr r="F164" s="2"/>
      </tp>
      <tp t="s">
        <v>#N/A N/A</v>
        <stp/>
        <stp>BDP|1078653097829594485</stp>
        <tr r="N307" s="2"/>
      </tp>
      <tp t="s">
        <v>#N/A N/A</v>
        <stp/>
        <stp>BDP|2710707405150933646</stp>
        <tr r="M77" s="2"/>
      </tp>
      <tp t="s">
        <v>#N/A N/A</v>
        <stp/>
        <stp>BDP|3563360749232781529</stp>
        <tr r="M69" s="2"/>
      </tp>
      <tp t="s">
        <v>#N/A N/A</v>
        <stp/>
        <stp>BDP|5854279420521467777</stp>
        <tr r="G159" s="2"/>
      </tp>
      <tp t="s">
        <v>#N/A N/A</v>
        <stp/>
        <stp>BDP|7776282522277734369</stp>
        <tr r="H299" s="2"/>
      </tp>
      <tp t="s">
        <v>#N/A N/A</v>
        <stp/>
        <stp>BDP|4741564453272840569</stp>
        <tr r="C263" s="2"/>
      </tp>
      <tp t="s">
        <v>#N/A N/A</v>
        <stp/>
        <stp>BDP|6416512568741011714</stp>
        <tr r="M161" s="2"/>
      </tp>
      <tp t="s">
        <v>#N/A N/A</v>
        <stp/>
        <stp>BDP|9859060799101862233</stp>
        <tr r="K169" s="2"/>
      </tp>
      <tp t="s">
        <v>#N/A Requesting Data...3767521380</v>
        <stp/>
        <stp>BDP|9519958349916372165</stp>
        <tr r="H30" s="1"/>
        <tr r="F197" s="2"/>
      </tp>
      <tp t="s">
        <v>#N/A N/A</v>
        <stp/>
        <stp>BDP|6945221752006706423</stp>
        <tr r="C245" s="2"/>
      </tp>
      <tp t="s">
        <v>#N/A N/A</v>
        <stp/>
        <stp>BDP|1413870170548844568</stp>
        <tr r="L255" s="2"/>
      </tp>
      <tp t="s">
        <v>#N/A N/A</v>
        <stp/>
        <stp>BDP|3864739976648600861</stp>
        <tr r="C22" s="2"/>
      </tp>
      <tp t="s">
        <v>#N/A N/A</v>
        <stp/>
        <stp>BDP|8428289540659355425</stp>
        <tr r="J108" s="2"/>
      </tp>
      <tp t="s">
        <v>#N/A N/A</v>
        <stp/>
        <stp>BDP|5398030404264131285</stp>
        <tr r="E272" s="2"/>
      </tp>
      <tp t="s">
        <v>#N/A N/A</v>
        <stp/>
        <stp>BDP|7814391692606936879</stp>
        <tr r="K285" s="2"/>
      </tp>
      <tp t="s">
        <v>#N/A N/A</v>
        <stp/>
        <stp>BDP|8383076508022389929</stp>
        <tr r="D159" s="2"/>
      </tp>
      <tp t="s">
        <v>#N/A N/A</v>
        <stp/>
        <stp>BDP|4048064240415880633</stp>
        <tr r="J125" s="2"/>
      </tp>
      <tp t="s">
        <v>#N/A N/A</v>
        <stp/>
        <stp>BDP|9463457089310071650</stp>
        <tr r="D246" s="2"/>
      </tp>
      <tp t="s">
        <v>#N/A Requesting Data...3347400409</v>
        <stp/>
        <stp>BDP|1935284538415016644</stp>
        <tr r="M30" s="1"/>
        <tr r="K197" s="2"/>
      </tp>
      <tp t="s">
        <v>#N/A N/A</v>
        <stp/>
        <stp>BDP|5979758553244131038</stp>
        <tr r="C198" s="2"/>
      </tp>
      <tp t="s">
        <v>#N/A N/A</v>
        <stp/>
        <stp>BDP|3566339254085612367</stp>
        <tr r="J6" s="2"/>
      </tp>
      <tp t="s">
        <v>#N/A Requesting Data...4281239759</v>
        <stp/>
        <stp>BDP|5943676931981957246</stp>
        <tr r="O28" s="1"/>
        <tr r="M192" s="2"/>
      </tp>
      <tp t="s">
        <v>#N/A N/A</v>
        <stp/>
        <stp>BDP|4873299939923972538</stp>
        <tr r="J207" s="2"/>
      </tp>
      <tp t="s">
        <v>#N/A N/A</v>
        <stp/>
        <stp>BDP|7615556420945766663</stp>
        <tr r="M290" s="2"/>
      </tp>
      <tp t="s">
        <v>#N/A N/A</v>
        <stp/>
        <stp>BDP|8594045192603117101</stp>
        <tr r="C138" s="2"/>
      </tp>
      <tp t="s">
        <v>#N/A N/A</v>
        <stp/>
        <stp>BDP|3401405692108197551</stp>
        <tr r="K213" s="2"/>
      </tp>
      <tp t="s">
        <v>#N/A N/A</v>
        <stp/>
        <stp>BDP|5203610069795818309</stp>
        <tr r="H205" s="2"/>
      </tp>
      <tp t="s">
        <v>#N/A N/A</v>
        <stp/>
        <stp>BDP|2597712257206259533</stp>
        <tr r="I294" s="2"/>
      </tp>
      <tp t="s">
        <v>#N/A N/A</v>
        <stp/>
        <stp>BDP|5618515472667282355</stp>
        <tr r="D96" s="2"/>
      </tp>
      <tp t="s">
        <v>#N/A N/A</v>
        <stp/>
        <stp>BDP|2069642459044883673</stp>
        <tr r="M116" s="2"/>
      </tp>
      <tp t="s">
        <v>#N/A N/A</v>
        <stp/>
        <stp>BDP|3944138601098045998</stp>
        <tr r="J253" s="2"/>
      </tp>
      <tp t="s">
        <v>#N/A N/A</v>
        <stp/>
        <stp>BDP|2372669002131099656</stp>
        <tr r="K60" s="2"/>
      </tp>
      <tp t="s">
        <v>#N/A N/A</v>
        <stp/>
        <stp>BDP|3601813247334624846</stp>
        <tr r="H145" s="2"/>
      </tp>
      <tp t="s">
        <v>#N/A N/A</v>
        <stp/>
        <stp>BDP|9366110417483413937</stp>
        <tr r="E167" s="2"/>
      </tp>
      <tp t="s">
        <v>#N/A N/A</v>
        <stp/>
        <stp>BDP|4942327506262616697</stp>
        <tr r="M232" s="2"/>
      </tp>
      <tp t="s">
        <v>#N/A N/A</v>
        <stp/>
        <stp>BDP|3528615736120110511</stp>
        <tr r="J63" s="2"/>
      </tp>
      <tp t="s">
        <v>#N/A N/A</v>
        <stp/>
        <stp>BDP|9175938038448956807</stp>
        <tr r="J292" s="2"/>
      </tp>
      <tp t="s">
        <v>#N/A N/A</v>
        <stp/>
        <stp>BDP|4931720216707899667</stp>
        <tr r="K90" s="2"/>
      </tp>
      <tp t="s">
        <v>#N/A N/A</v>
        <stp/>
        <stp>BDP|2538796848775470734</stp>
        <tr r="I30" s="2"/>
      </tp>
      <tp t="s">
        <v>#N/A N/A</v>
        <stp/>
        <stp>BDP|5673025960261558126</stp>
        <tr r="G118" s="2"/>
      </tp>
      <tp t="s">
        <v>#N/A N/A</v>
        <stp/>
        <stp>BDP|5266044280799521704</stp>
        <tr r="L219" s="2"/>
      </tp>
      <tp t="s">
        <v>#N/A N/A</v>
        <stp/>
        <stp>BDP|7647445017214744510</stp>
        <tr r="L71" s="2"/>
      </tp>
      <tp t="s">
        <v>#N/A Requesting Data...4069741257</v>
        <stp/>
        <stp>BDP|8754827226574456544</stp>
        <tr r="J8" s="1"/>
        <tr r="H38" s="2"/>
      </tp>
      <tp t="s">
        <v>#N/A N/A</v>
        <stp/>
        <stp>BDP|2808315142633914514</stp>
        <tr r="N41" s="2"/>
      </tp>
      <tp t="s">
        <v>#N/A Requesting Data...4137834175</v>
        <stp/>
        <stp>BDP|2528233762926726331</stp>
        <tr r="J27" s="1"/>
        <tr r="H181" s="2"/>
      </tp>
      <tp t="s">
        <v>#N/A N/A</v>
        <stp/>
        <stp>BDP|9184231164799659706</stp>
        <tr r="E138" s="2"/>
      </tp>
      <tp t="s">
        <v>#N/A N/A</v>
        <stp/>
        <stp>BDP|6997784361002889688</stp>
        <tr r="M104" s="2"/>
      </tp>
      <tp t="s">
        <v>#N/A N/A</v>
        <stp/>
        <stp>BDP|4599646077590075661</stp>
        <tr r="M304" s="2"/>
      </tp>
      <tp t="s">
        <v>#N/A Requesting Data...3826759883</v>
        <stp/>
        <stp>BDP|4410242540027998694</stp>
        <tr r="E6" s="1"/>
        <tr r="C31" s="2"/>
      </tp>
      <tp t="s">
        <v>#N/A N/A</v>
        <stp/>
        <stp>BDP|3242111233422722073</stp>
        <tr r="N255" s="2"/>
      </tp>
      <tp t="s">
        <v>#N/A N/A</v>
        <stp/>
        <stp>BDP|9463644730477963897</stp>
        <tr r="F225" s="2"/>
      </tp>
      <tp t="s">
        <v>#N/A N/A</v>
        <stp/>
        <stp>BDP|8340768086914762044</stp>
        <tr r="L211" s="2"/>
      </tp>
      <tp t="s">
        <v>#N/A N/A</v>
        <stp/>
        <stp>BDP|7148825880000318407</stp>
        <tr r="J242" s="2"/>
      </tp>
      <tp t="s">
        <v>#N/A N/A</v>
        <stp/>
        <stp>BDP|9735851777050518519</stp>
        <tr r="D43" s="2"/>
      </tp>
      <tp t="s">
        <v>#N/A N/A</v>
        <stp/>
        <stp>BDP|1339524326290085560</stp>
        <tr r="N194" s="2"/>
      </tp>
      <tp t="s">
        <v>#N/A N/A</v>
        <stp/>
        <stp>BDP|7668238120900203468</stp>
        <tr r="L227" s="2"/>
      </tp>
      <tp t="s">
        <v>#N/A N/A</v>
        <stp/>
        <stp>BDP|1648426224735741163</stp>
        <tr r="M127" s="2"/>
      </tp>
      <tp t="s">
        <v>#N/A N/A</v>
        <stp/>
        <stp>BDP|3753667529473072797</stp>
        <tr r="M285" s="2"/>
      </tp>
      <tp t="s">
        <v>#N/A N/A</v>
        <stp/>
        <stp>BDP|5480551329365641486</stp>
        <tr r="G156" s="2"/>
      </tp>
      <tp t="s">
        <v>#N/A N/A</v>
        <stp/>
        <stp>BDP|8441853129017666689</stp>
        <tr r="L105" s="2"/>
      </tp>
      <tp t="s">
        <v>#N/A N/A</v>
        <stp/>
        <stp>BDP|2398462931225728350</stp>
        <tr r="L80" s="2"/>
      </tp>
      <tp t="s">
        <v>#N/A N/A</v>
        <stp/>
        <stp>BDP|7539838123799741742</stp>
        <tr r="D255" s="2"/>
      </tp>
      <tp t="s">
        <v>#N/A N/A</v>
        <stp/>
        <stp>BDP|1044375460240187704</stp>
        <tr r="K187" s="2"/>
      </tp>
      <tp t="s">
        <v>#N/A Requesting Data...4035623210</v>
        <stp/>
        <stp>BDP|8127394959658363547</stp>
        <tr r="L9" s="1"/>
        <tr r="J42" s="2"/>
      </tp>
      <tp t="s">
        <v>#N/A N/A</v>
        <stp/>
        <stp>BDP|1855284500655511531</stp>
        <tr r="L136" s="2"/>
      </tp>
      <tp t="s">
        <v>#N/A N/A</v>
        <stp/>
        <stp>BDP|2104261830255970583</stp>
        <tr r="M262" s="2"/>
      </tp>
      <tp t="s">
        <v>#N/A N/A</v>
        <stp/>
        <stp>BDP|7676612147516157073</stp>
        <tr r="I186" s="2"/>
      </tp>
      <tp t="s">
        <v>#N/A Requesting Data...3686969201</v>
        <stp/>
        <stp>BDP|6382709523131219158</stp>
        <tr r="K18" s="1"/>
        <tr r="I131" s="2"/>
      </tp>
      <tp t="s">
        <v>#N/A N/A</v>
        <stp/>
        <stp>BDP|2747700760850471043</stp>
        <tr r="J162" s="2"/>
      </tp>
      <tp t="s">
        <v>#N/A Requesting Data...3940185158</v>
        <stp/>
        <stp>BDP|6233003566882542164</stp>
        <tr r="J30" s="1"/>
        <tr r="H197" s="2"/>
      </tp>
      <tp t="s">
        <v>#N/A N/A</v>
        <stp/>
        <stp>BDP|8337656487031591431</stp>
        <tr r="G51" s="2"/>
      </tp>
      <tp t="s">
        <v>#N/A N/A</v>
        <stp/>
        <stp>BDP|1375001992883007863</stp>
        <tr r="G70" s="2"/>
      </tp>
      <tp t="s">
        <v>#N/A Requesting Data...4053687577</v>
        <stp/>
        <stp>BDP|2009638961628128941</stp>
        <tr r="L12" s="1"/>
        <tr r="J85" s="2"/>
      </tp>
      <tp t="s">
        <v>#N/A N/A</v>
        <stp/>
        <stp>BDP|2069657250393384115</stp>
        <tr r="H291" s="2"/>
      </tp>
      <tp t="s">
        <v>#N/A N/A</v>
        <stp/>
        <stp>BDP|3952472263584818625</stp>
        <tr r="M301" s="2"/>
      </tp>
      <tp t="s">
        <v>#N/A N/A</v>
        <stp/>
        <stp>BDP|4302468134154212471</stp>
        <tr r="C222" s="2"/>
      </tp>
      <tp t="s">
        <v>#N/A Requesting Data...3433625496</v>
        <stp/>
        <stp>BDP|1244170292822455871</stp>
        <tr r="F41" s="1"/>
        <tr r="D303" s="2"/>
      </tp>
      <tp t="s">
        <v>#N/A N/A</v>
        <stp/>
        <stp>BDP|4872832488770689717</stp>
        <tr r="K188" s="2"/>
      </tp>
      <tp t="s">
        <v>#N/A N/A</v>
        <stp/>
        <stp>BDP|5271169816255229342</stp>
        <tr r="C290" s="2"/>
      </tp>
      <tp t="s">
        <v>#N/A N/A</v>
        <stp/>
        <stp>BDP|8518911365566744221</stp>
        <tr r="G186" s="2"/>
      </tp>
      <tp t="s">
        <v>#N/A N/A</v>
        <stp/>
        <stp>BDP|1813477342644093682</stp>
        <tr r="I98" s="2"/>
      </tp>
      <tp t="s">
        <v>#N/A N/A</v>
        <stp/>
        <stp>BDP|6850156789755682977</stp>
        <tr r="E265" s="2"/>
      </tp>
      <tp t="s">
        <v>#N/A N/A</v>
        <stp/>
        <stp>BDP|8265574459768092396</stp>
        <tr r="J160" s="2"/>
      </tp>
      <tp t="s">
        <v>#N/A N/A</v>
        <stp/>
        <stp>BDP|1541487173220365188</stp>
        <tr r="G65" s="2"/>
      </tp>
      <tp t="s">
        <v>#N/A N/A</v>
        <stp/>
        <stp>BDP|5311437556174775340</stp>
        <tr r="D190" s="2"/>
      </tp>
      <tp t="s">
        <v>#N/A N/A</v>
        <stp/>
        <stp>BDP|7708639052576268119</stp>
        <tr r="I185" s="2"/>
      </tp>
      <tp t="s">
        <v>#N/A N/A</v>
        <stp/>
        <stp>BDP|7758131947718463926</stp>
        <tr r="L4" s="2"/>
      </tp>
      <tp t="s">
        <v>#N/A Requesting Data...3572061978</v>
        <stp/>
        <stp>BDP|6208106056655149401</stp>
        <tr r="O18" s="1"/>
        <tr r="M131" s="2"/>
      </tp>
      <tp t="s">
        <v>#N/A N/A</v>
        <stp/>
        <stp>BDP|4794022309331977608</stp>
        <tr r="I163" s="2"/>
      </tp>
      <tp t="s">
        <v>#N/A Requesting Data...3511698143</v>
        <stp/>
        <stp>BDP|8476817176635628102</stp>
        <tr r="E11" s="1"/>
        <tr r="C78" s="2"/>
      </tp>
      <tp t="s">
        <v>#N/A N/A</v>
        <stp/>
        <stp>BDP|13165911170199922</stp>
        <tr r="I132" s="2"/>
      </tp>
      <tp t="s">
        <v>#N/A N/A</v>
        <stp/>
        <stp>BDP|19003003058925094</stp>
        <tr r="I16" s="2"/>
      </tp>
      <tp t="s">
        <v>#N/A N/A</v>
        <stp/>
        <stp>BDP|11574006656508978</stp>
        <tr r="N206" s="2"/>
      </tp>
      <tp t="s">
        <v>#N/A Requesting Data...3895297749</v>
        <stp/>
        <stp>BDP|28731384470565251</stp>
        <tr r="P18" s="1"/>
        <tr r="N131" s="2"/>
      </tp>
      <tp t="s">
        <v>#N/A N/A</v>
        <stp/>
        <stp>BDP|66610951427147807</stp>
        <tr r="G37" s="2"/>
      </tp>
      <tp t="s">
        <v>#N/A N/A</v>
        <stp/>
        <stp>BDP|56882509702919663</stp>
        <tr r="C294" s="2"/>
      </tp>
      <tp t="s">
        <v>#N/A N/A</v>
        <stp/>
        <stp>BDP|89847334217896378</stp>
        <tr r="D184" s="2"/>
      </tp>
      <tp t="s">
        <v>#N/A N/A</v>
        <stp/>
        <stp>BDP|20814887709216767</stp>
        <tr r="E64" s="2"/>
      </tp>
      <tp t="s">
        <v>#N/A N/A</v>
        <stp/>
        <stp>BDP|28817814971360903</stp>
        <tr r="L23" s="2"/>
      </tp>
      <tp t="s">
        <v>#N/A N/A</v>
        <stp/>
        <stp>BDP|78086566697355147</stp>
        <tr r="L291" s="2"/>
      </tp>
      <tp t="s">
        <v>#N/A N/A</v>
        <stp/>
        <stp>BDP|71077621622260217</stp>
        <tr r="N137" s="2"/>
      </tp>
      <tp t="s">
        <v>#N/A N/A</v>
        <stp/>
        <stp>BDP|99877650108144045</stp>
        <tr r="H229" s="2"/>
      </tp>
      <tp t="s">
        <v>#N/A N/A</v>
        <stp/>
        <stp>BDP|90705621833765232</stp>
        <tr r="N76" s="2"/>
      </tp>
      <tp t="s">
        <v>#N/A N/A</v>
        <stp/>
        <stp>BDP|22881892760275777</stp>
        <tr r="H76" s="2"/>
      </tp>
      <tp t="s">
        <v>#N/A N/A</v>
        <stp/>
        <stp>BDP|275554681221950929</stp>
        <tr r="D27" s="2"/>
      </tp>
      <tp t="s">
        <v>#N/A N/A</v>
        <stp/>
        <stp>BDP|835567315739739813</stp>
        <tr r="K228" s="2"/>
      </tp>
      <tp t="s">
        <v>#N/A Requesting Data...3119155249</v>
        <stp/>
        <stp>BDP|564438942784867129</stp>
        <tr r="E24" s="1"/>
        <tr r="C157" s="2"/>
      </tp>
      <tp t="s">
        <v>#N/A N/A</v>
        <stp/>
        <stp>BDP|843712950163161402</stp>
        <tr r="L164" s="2"/>
      </tp>
      <tp t="s">
        <v>#N/A N/A</v>
        <stp/>
        <stp>BDP|210764159115720227</stp>
        <tr r="H118" s="2"/>
      </tp>
      <tp t="s">
        <v>#N/A N/A</v>
        <stp/>
        <stp>BDP|873357840613464104</stp>
        <tr r="G171" s="2"/>
      </tp>
      <tp t="s">
        <v>#N/A N/A</v>
        <stp/>
        <stp>BDP|830374938983522694</stp>
        <tr r="I240" s="2"/>
      </tp>
      <tp t="s">
        <v>#N/A Requesting Data...4106360359</v>
        <stp/>
        <stp>BDP|423477324690585378</stp>
        <tr r="M15" s="1"/>
        <tr r="K93" s="2"/>
      </tp>
      <tp t="s">
        <v>#N/A Requesting Data...4060822089</v>
        <stp/>
        <stp>BDP|446005400375824097</stp>
        <tr r="O34" s="1"/>
        <tr r="M233" s="2"/>
      </tp>
      <tp t="s">
        <v>#N/A N/A</v>
        <stp/>
        <stp>BDP|225575672592601568</stp>
        <tr r="J263" s="2"/>
      </tp>
      <tp t="s">
        <v>#N/A N/A</v>
        <stp/>
        <stp>BDP|648626084538672312</stp>
        <tr r="G203" s="2"/>
      </tp>
      <tp t="s">
        <v>#N/A N/A</v>
        <stp/>
        <stp>BDP|741734412457355424</stp>
        <tr r="I290" s="2"/>
      </tp>
      <tp t="s">
        <v>#N/A Requesting Data...3965604763</v>
        <stp/>
        <stp>BDP|236680659845516343</stp>
        <tr r="O36" s="1"/>
        <tr r="M260" s="2"/>
      </tp>
      <tp t="s">
        <v>#N/A N/A</v>
        <stp/>
        <stp>BDP|994354579849007861</stp>
        <tr r="D114" s="2"/>
      </tp>
      <tp t="s">
        <v>#N/A Requesting Data...4167133328</v>
        <stp/>
        <stp>BDP|881951297015564132</stp>
        <tr r="G24" s="1"/>
        <tr r="E157" s="2"/>
      </tp>
      <tp t="s">
        <v>#N/A N/A</v>
        <stp/>
        <stp>BDP|704535661216070190</stp>
        <tr r="E263" s="2"/>
      </tp>
      <tp t="s">
        <v>#N/A N/A</v>
        <stp/>
        <stp>BDP|734391386969534633</stp>
        <tr r="M58" s="2"/>
      </tp>
      <tp t="s">
        <v>#N/A N/A</v>
        <stp/>
        <stp>BDP|148850989385109147</stp>
        <tr r="H253" s="2"/>
      </tp>
      <tp t="s">
        <v>#N/A Requesting Data...3526170788</v>
        <stp/>
        <stp>BDP|293388502913377414</stp>
        <tr r="N14" s="1"/>
        <tr r="L91" s="2"/>
      </tp>
      <tp t="s">
        <v>#N/A N/A</v>
        <stp/>
        <stp>BDP|351515156594925065</stp>
        <tr r="H238" s="2"/>
      </tp>
      <tp t="s">
        <v>#N/A N/A</v>
        <stp/>
        <stp>BDP|250815584853416743</stp>
        <tr r="H103" s="2"/>
      </tp>
      <tp t="s">
        <v>#N/A N/A</v>
        <stp/>
        <stp>BDP|152627520292590211</stp>
        <tr r="K202" s="2"/>
      </tp>
      <tp t="s">
        <v>#N/A N/A</v>
        <stp/>
        <stp>BDP|846157043477938679</stp>
        <tr r="F55" s="2"/>
      </tp>
      <tp t="s">
        <v>#N/A N/A</v>
        <stp/>
        <stp>BDP|133963202495421817</stp>
        <tr r="L307" s="2"/>
      </tp>
      <tp t="s">
        <v>#N/A N/A</v>
        <stp/>
        <stp>BDP|388688939264427567</stp>
        <tr r="F47" s="2"/>
      </tp>
      <tp t="s">
        <v>#N/A N/A</v>
        <stp/>
        <stp>BDP|698241487487372970</stp>
        <tr r="D300" s="2"/>
      </tp>
      <tp t="s">
        <v>#N/A N/A</v>
        <stp/>
        <stp>BDP|769223627822603659</stp>
        <tr r="I306" s="2"/>
      </tp>
      <tp t="s">
        <v>#N/A N/A</v>
        <stp/>
        <stp>BDP|725256056597079452</stp>
        <tr r="D6" s="2"/>
      </tp>
      <tp t="s">
        <v>#N/A N/A</v>
        <stp/>
        <stp>BDP|123534876871370752</stp>
        <tr r="J305" s="2"/>
      </tp>
      <tp t="s">
        <v>#N/A N/A</v>
        <stp/>
        <stp>BDP|858010405842660699</stp>
        <tr r="E306" s="2"/>
      </tp>
      <tp t="s">
        <v>#N/A N/A</v>
        <stp/>
        <stp>BDP|872990511328767799</stp>
        <tr r="F75" s="2"/>
      </tp>
      <tp t="s">
        <v>#N/A N/A</v>
        <stp/>
        <stp>BDP|992164420514410011</stp>
        <tr r="C182" s="2"/>
      </tp>
      <tp t="s">
        <v>#N/A N/A</v>
        <stp/>
        <stp>BDP|231671245080237591</stp>
        <tr r="C191" s="2"/>
      </tp>
      <tp t="s">
        <v>#N/A N/A</v>
        <stp/>
        <stp>BDP|596296952707252799</stp>
        <tr r="H214" s="2"/>
      </tp>
      <tp t="s">
        <v>#N/A N/A</v>
        <stp/>
        <stp>BDP|896692912173341362</stp>
        <tr r="N179" s="2"/>
      </tp>
      <tp t="s">
        <v>#N/A N/A</v>
        <stp/>
        <stp>BDP|441222971804478658</stp>
        <tr r="F241" s="2"/>
      </tp>
      <tp t="s">
        <v>#N/A N/A</v>
        <stp/>
        <stp>BDP|798371022132145416</stp>
        <tr r="F227" s="2"/>
      </tp>
      <tp t="s">
        <v>#N/A N/A</v>
        <stp/>
        <stp>BDP|957594124623032285</stp>
        <tr r="G300" s="2"/>
      </tp>
      <tp t="s">
        <v>#N/A N/A</v>
        <stp/>
        <stp>BDP|501068423707698395</stp>
        <tr r="L268" s="2"/>
      </tp>
      <tp t="s">
        <v>#N/A N/A</v>
        <stp/>
        <stp>BDP|287126160626231790</stp>
        <tr r="G107" s="2"/>
      </tp>
      <tp t="s">
        <v>#N/A N/A</v>
        <stp/>
        <stp>BDP|433775075584257202</stp>
        <tr r="H24" s="2"/>
      </tp>
      <tp t="s">
        <v>#N/A Requesting Data...4221557761</v>
        <stp/>
        <stp>BDP|591937810068508661</stp>
        <tr r="O14" s="1"/>
        <tr r="M91" s="2"/>
      </tp>
      <tp t="s">
        <v>#N/A N/A</v>
        <stp/>
        <stp>BDP|389315503752639706</stp>
        <tr r="M84" s="2"/>
      </tp>
      <tp t="s">
        <v>#N/A N/A</v>
        <stp/>
        <stp>BDP|952122977868853843</stp>
        <tr r="F117" s="2"/>
      </tp>
      <tp t="s">
        <v>#N/A Requesting Data...3614196739</v>
        <stp/>
        <stp>BDP|825611706001816170</stp>
        <tr r="G31" s="1"/>
        <tr r="E200" s="2"/>
      </tp>
      <tp t="s">
        <v>#N/A N/A</v>
        <stp/>
        <stp>BDP|836067149304177654</stp>
        <tr r="H106" s="2"/>
      </tp>
      <tp t="s">
        <v>#N/A Requesting Data...3227569799</v>
        <stp/>
        <stp>BDP|572108452887231290</stp>
        <tr r="O37" s="1"/>
        <tr r="M276" s="2"/>
      </tp>
      <tp t="s">
        <v>#N/A N/A</v>
        <stp/>
        <stp>BDP|602427929302110559</stp>
        <tr r="G202" s="2"/>
      </tp>
      <tp t="s">
        <v>#N/A N/A</v>
        <stp/>
        <stp>BDP|238431752962947238</stp>
        <tr r="H182" s="2"/>
      </tp>
      <tp t="s">
        <v>#N/A N/A</v>
        <stp/>
        <stp>BDP|919907016229139046</stp>
        <tr r="E207" s="2"/>
      </tp>
      <tp t="s">
        <v>#N/A N/A</v>
        <stp/>
        <stp>BDP|796646920071930410</stp>
        <tr r="N205" s="2"/>
      </tp>
      <tp t="s">
        <v>#N/A N/A</v>
        <stp/>
        <stp>BDP|273077071947272126</stp>
        <tr r="G154" s="2"/>
      </tp>
      <tp t="s">
        <v>#N/A N/A</v>
        <stp/>
        <stp>BDP|594948318871691893</stp>
        <tr r="L50" s="2"/>
      </tp>
      <tp t="s">
        <v>#N/A N/A</v>
        <stp/>
        <stp>BDP|149236426572132325</stp>
        <tr r="M207" s="2"/>
      </tp>
      <tp t="s">
        <v>#N/A N/A</v>
        <stp/>
        <stp>BDP|894408086564976960</stp>
        <tr r="G210" s="2"/>
      </tp>
      <tp t="s">
        <v>#N/A N/A</v>
        <stp/>
        <stp>BDP|212957219880580999</stp>
        <tr r="N99" s="2"/>
      </tp>
      <tp t="s">
        <v>#N/A Requesting Data...3722393477</v>
        <stp/>
        <stp>BDP|536348078091864431</stp>
        <tr r="M37" s="1"/>
        <tr r="K276" s="2"/>
      </tp>
      <tp t="s">
        <v>#N/A N/A</v>
        <stp/>
        <stp>BDP|924341312724341615</stp>
        <tr r="C206" s="2"/>
      </tp>
      <tp t="s">
        <v>#N/A N/A</v>
        <stp/>
        <stp>BDP|734415802546871222</stp>
        <tr r="C134" s="2"/>
      </tp>
      <tp t="s">
        <v>#N/A N/A</v>
        <stp/>
        <stp>BDP|277406971697428490</stp>
        <tr r="D22" s="2"/>
      </tp>
      <tp t="s">
        <v>#N/A N/A</v>
        <stp/>
        <stp>BDP|419156539952356019</stp>
        <tr r="M208" s="2"/>
      </tp>
      <tp t="s">
        <v>#N/A N/A</v>
        <stp/>
        <stp>BDP|413989920713073874</stp>
        <tr r="L284" s="2"/>
      </tp>
      <tp t="s">
        <v>#N/A N/A</v>
        <stp/>
        <stp>BDP|498066415418955981</stp>
        <tr r="E205" s="2"/>
      </tp>
      <tp t="s">
        <v>#N/A N/A</v>
        <stp/>
        <stp>BDP|276679851337475477</stp>
        <tr r="H70" s="2"/>
      </tp>
      <tp t="s">
        <v>#N/A Requesting Data...3873262493</v>
        <stp/>
        <stp>BDP|150205108757910577</stp>
        <tr r="H28" s="1"/>
        <tr r="F192" s="2"/>
      </tp>
      <tp t="s">
        <v>#N/A N/A</v>
        <stp/>
        <stp>BDP|973637143973260193</stp>
        <tr r="H249" s="2"/>
      </tp>
      <tp t="s">
        <v>#N/A N/A</v>
        <stp/>
        <stp>BDP|137199256975902151</stp>
        <tr r="G23" s="2"/>
      </tp>
      <tp t="s">
        <v>#N/A N/A</v>
        <stp/>
        <stp>BDP|924317535353877362</stp>
        <tr r="J299" s="2"/>
      </tp>
      <tp t="s">
        <v>#N/A Requesting Data...3164093868</v>
        <stp/>
        <stp>BDP|259723510695419371</stp>
        <tr r="K14" s="1"/>
        <tr r="I91" s="2"/>
      </tp>
    </main>
    <main first="bofaddin.rtdserver">
      <tp t="s">
        <v>#N/A N/A</v>
        <stp/>
        <stp>BDP|358634343734681595</stp>
        <tr r="M43" s="2"/>
      </tp>
      <tp t="s">
        <v>#N/A N/A</v>
        <stp/>
        <stp>BDP|358020327063924232</stp>
        <tr r="H234" s="2"/>
      </tp>
      <tp t="s">
        <v>#N/A N/A</v>
        <stp/>
        <stp>BDP|384317581331930947</stp>
        <tr r="H203" s="2"/>
      </tp>
      <tp t="s">
        <v>#N/A N/A</v>
        <stp/>
        <stp>BDP|511168698733071833</stp>
        <tr r="I305" s="2"/>
      </tp>
      <tp t="s">
        <v>#N/A N/A</v>
        <stp/>
        <stp>BDP|758099626934482562</stp>
        <tr r="H4" s="2"/>
      </tp>
      <tp t="s">
        <v>#N/A N/A</v>
        <stp/>
        <stp>BDP|475595640963673103</stp>
        <tr r="I52" s="2"/>
      </tp>
      <tp t="s">
        <v>#N/A N/A</v>
        <stp/>
        <stp>BDP|897013162864962198</stp>
        <tr r="G206" s="2"/>
      </tp>
      <tp t="s">
        <v>#N/A N/A</v>
        <stp/>
        <stp>BDP|609032623764441591</stp>
        <tr r="M196" s="2"/>
      </tp>
      <tp t="s">
        <v>#N/A N/A</v>
        <stp/>
        <stp>BDP|146487776009981906</stp>
        <tr r="F199" s="2"/>
      </tp>
      <tp t="s">
        <v>#N/A Requesting Data...3679049941</v>
        <stp/>
        <stp>BDP|741620797754729830</stp>
        <tr r="K22" s="1"/>
        <tr r="I152" s="2"/>
      </tp>
      <tp t="s">
        <v>#N/A N/A</v>
        <stp/>
        <stp>BDP|514590014520924773</stp>
        <tr r="J46" s="2"/>
      </tp>
      <tp t="s">
        <v>#N/A N/A</v>
        <stp/>
        <stp>BDP|884718513447848203</stp>
        <tr r="I134" s="2"/>
      </tp>
      <tp t="s">
        <v>#N/A N/A</v>
        <stp/>
        <stp>BDP|169240709773839263</stp>
        <tr r="I207" s="2"/>
      </tp>
      <tp t="s">
        <v>#N/A N/A</v>
        <stp/>
        <stp>BDP|455570888198975614</stp>
        <tr r="M3" s="2"/>
      </tp>
      <tp t="s">
        <v>#N/A N/A</v>
        <stp/>
        <stp>BDP|913274512838610898</stp>
        <tr r="D265" s="2"/>
      </tp>
      <tp t="s">
        <v>#N/A N/A</v>
        <stp/>
        <stp>BDP|705839318029958283</stp>
        <tr r="I41" s="2"/>
      </tp>
      <tp t="s">
        <v>#N/A N/A</v>
        <stp/>
        <stp>BDP|794049683529553380</stp>
        <tr r="J252" s="2"/>
      </tp>
      <tp t="s">
        <v>#N/A N/A</v>
        <stp/>
        <stp>BDP|987226535626400558</stp>
        <tr r="D68" s="2"/>
      </tp>
      <tp t="s">
        <v>#N/A N/A</v>
        <stp/>
        <stp>BDP|398134771990266492</stp>
        <tr r="J83" s="2"/>
      </tp>
      <tp t="s">
        <v>#N/A N/A</v>
        <stp/>
        <stp>BDP|602635451891438050</stp>
        <tr r="F217" s="2"/>
      </tp>
      <tp t="s">
        <v>#N/A N/A</v>
        <stp/>
        <stp>BDP|501643015292051724</stp>
        <tr r="H119" s="2"/>
      </tp>
      <tp t="s">
        <v>#N/A N/A</v>
        <stp/>
        <stp>BDP|736033485788105267</stp>
        <tr r="M189" s="2"/>
      </tp>
      <tp t="s">
        <v>#N/A Requesting Data...3838227034</v>
        <stp/>
        <stp>BDP|670455271122616327</stp>
        <tr r="N11" s="1"/>
        <tr r="L78" s="2"/>
      </tp>
      <tp t="s">
        <v>#N/A N/A</v>
        <stp/>
        <stp>BDP|583508944903679004</stp>
        <tr r="E8" s="2"/>
      </tp>
      <tp t="s">
        <v>#N/A N/A</v>
        <stp/>
        <stp>BDP|473534482966200908</stp>
        <tr r="K159" s="2"/>
      </tp>
      <tp t="s">
        <v>#N/A N/A</v>
        <stp/>
        <stp>BDP|159512668649616894</stp>
        <tr r="N5" s="2"/>
      </tp>
      <tp t="s">
        <v>#N/A N/A</v>
        <stp/>
        <stp>BDP|318276160271782737</stp>
        <tr r="G84" s="2"/>
      </tp>
      <tp t="s">
        <v>#N/A N/A</v>
        <stp/>
        <stp>BDP|200873481266284463</stp>
        <tr r="M263" s="2"/>
      </tp>
      <tp t="s">
        <v>#N/A N/A</v>
        <stp/>
        <stp>BDP|226167823894340541</stp>
        <tr r="C132" s="2"/>
      </tp>
      <tp t="s">
        <v>#N/A N/A</v>
        <stp/>
        <stp>BDP|262742327986618172</stp>
        <tr r="H292" s="2"/>
      </tp>
      <tp t="s">
        <v>#N/A N/A</v>
        <stp/>
        <stp>BDP|722411030966666314</stp>
        <tr r="I235" s="2"/>
      </tp>
      <tp t="s">
        <v>#N/A N/A</v>
        <stp/>
        <stp>BDP|803114203412848105</stp>
        <tr r="L198" s="2"/>
      </tp>
      <tp t="s">
        <v>#N/A N/A</v>
        <stp/>
        <stp>BDP|713538156879755496</stp>
        <tr r="L34" s="2"/>
      </tp>
      <tp t="s">
        <v>#N/A N/A</v>
        <stp/>
        <stp>BDP|846471762769632670</stp>
        <tr r="D44" s="2"/>
      </tp>
      <tp t="s">
        <v>#N/A N/A</v>
        <stp/>
        <stp>BDP|232430904781918817</stp>
        <tr r="K271" s="2"/>
      </tp>
      <tp t="s">
        <v>#N/A Requesting Data...3888751650</v>
        <stp/>
        <stp>BDP|558620681596977554</stp>
        <tr r="O30" s="1"/>
        <tr r="M197" s="2"/>
      </tp>
      <tp t="s">
        <v>#N/A Requesting Data...4106307584</v>
        <stp/>
        <stp>BDP|414463321243142869</stp>
        <tr r="F39" s="1"/>
        <tr r="D282" s="2"/>
      </tp>
      <tp t="s">
        <v>#N/A Requesting Data...3800151985</v>
        <stp/>
        <stp>BDP|104757201448364239</stp>
        <tr r="K33" s="1"/>
        <tr r="I223" s="2"/>
      </tp>
      <tp t="s">
        <v>#N/A N/A</v>
        <stp/>
        <stp>BDP|343157442598743056</stp>
        <tr r="K120" s="2"/>
      </tp>
      <tp t="s">
        <v>#N/A N/A</v>
        <stp/>
        <stp>BDP|921819048414348528</stp>
        <tr r="N239" s="2"/>
      </tp>
      <tp t="s">
        <v>#N/A N/A</v>
        <stp/>
        <stp>BDP|727332386274358226</stp>
        <tr r="G272" s="2"/>
      </tp>
      <tp t="s">
        <v>#N/A N/A</v>
        <stp/>
        <stp>BDP|488961958235443505</stp>
        <tr r="F128" s="2"/>
      </tp>
      <tp t="s">
        <v>#N/A N/A</v>
        <stp/>
        <stp>BDP|596990106123711648</stp>
        <tr r="M90" s="2"/>
      </tp>
      <tp t="s">
        <v>#N/A Requesting Data...3809119249</v>
        <stp/>
        <stp>BDP|860074384604524046</stp>
        <tr r="E39" s="1"/>
        <tr r="C282" s="2"/>
      </tp>
      <tp t="s">
        <v>#N/A Requesting Data...4151941510</v>
        <stp/>
        <stp>BDP|819690287420999241</stp>
        <tr r="P32" s="1"/>
        <tr r="N204" s="2"/>
      </tp>
      <tp t="s">
        <v>#N/A N/A</v>
        <stp/>
        <stp>BDP|351198937447091999</stp>
        <tr r="M89" s="2"/>
      </tp>
      <tp t="s">
        <v>#N/A N/A</v>
        <stp/>
        <stp>BDP|841882186564954890</stp>
        <tr r="I50" s="2"/>
      </tp>
      <tp t="s">
        <v>#N/A N/A</v>
        <stp/>
        <stp>BDP|298179301865343844</stp>
        <tr r="N26" s="2"/>
      </tp>
      <tp t="s">
        <v>#N/A Requesting Data...4138661894</v>
        <stp/>
        <stp>BDP|374772847866043906</stp>
        <tr r="L28" s="1"/>
        <tr r="J192" s="2"/>
      </tp>
      <tp t="s">
        <v>#N/A N/A</v>
        <stp/>
        <stp>BDP|497177493156376204</stp>
        <tr r="K123" s="2"/>
      </tp>
      <tp t="s">
        <v>#N/A Requesting Data...3655916942</v>
        <stp/>
        <stp>BDP|687232238246874894</stp>
        <tr r="J22" s="1"/>
        <tr r="H152" s="2"/>
      </tp>
      <tp t="s">
        <v>#N/A N/A</v>
        <stp/>
        <stp>BDP|162882902481646614</stp>
        <tr r="K158" s="2"/>
      </tp>
      <tp t="s">
        <v>#N/A Requesting Data...4242735558</v>
        <stp/>
        <stp>BDP|376070483351604691</stp>
        <tr r="I36" s="1"/>
        <tr r="G260" s="2"/>
      </tp>
      <tp t="s">
        <v>#N/A N/A</v>
        <stp/>
        <stp>BDP|582431058209320740</stp>
        <tr r="N270" s="2"/>
      </tp>
      <tp t="s">
        <v>#N/A Requesting Data...3709145905</v>
        <stp/>
        <stp>BDP|681503687770840231</stp>
        <tr r="N27" s="1"/>
        <tr r="L181" s="2"/>
      </tp>
      <tp t="s">
        <v>#N/A N/A</v>
        <stp/>
        <stp>BDP|238190725648252476</stp>
        <tr r="I32" s="2"/>
      </tp>
      <tp t="s">
        <v>#N/A N/A</v>
        <stp/>
        <stp>BDP|656639481656758775</stp>
        <tr r="E161" s="2"/>
      </tp>
      <tp t="s">
        <v>#N/A N/A</v>
        <stp/>
        <stp>BDP|613284079453674946</stp>
        <tr r="I225" s="2"/>
      </tp>
      <tp t="s">
        <v>#N/A N/A</v>
        <stp/>
        <stp>BDP|998932502800529681</stp>
        <tr r="J225" s="2"/>
      </tp>
      <tp t="s">
        <v>#N/A N/A</v>
        <stp/>
        <stp>BDP|232851160527675644</stp>
        <tr r="L54" s="2"/>
      </tp>
      <tp t="s">
        <v>#N/A N/A</v>
        <stp/>
        <stp>BDP|962542631879938031</stp>
        <tr r="H285" s="2"/>
      </tp>
      <tp t="s">
        <v>#N/A Requesting Data...3688942452</v>
        <stp/>
        <stp>BDP|186030037889711544</stp>
        <tr r="G18" s="1"/>
        <tr r="E131" s="2"/>
      </tp>
      <tp t="s">
        <v>#N/A N/A</v>
        <stp/>
        <stp>BDP|169301824867689942</stp>
        <tr r="M280" s="2"/>
      </tp>
      <tp t="s">
        <v>#N/A N/A</v>
        <stp/>
        <stp>BDP|164067436915456941</stp>
        <tr r="L217" s="2"/>
      </tp>
      <tp t="s">
        <v>#N/A N/A</v>
        <stp/>
        <stp>BDP|846989127763371765</stp>
        <tr r="K291" s="2"/>
      </tp>
    </main>
    <main first="bofaddin.rtdserver">
      <tp t="s">
        <v>#N/A N/A</v>
        <stp/>
        <stp>BDP|942259684583360777</stp>
        <tr r="L248" s="2"/>
      </tp>
      <tp t="s">
        <v>#N/A N/A</v>
        <stp/>
        <stp>BDP|397417421448864075</stp>
        <tr r="C14" s="2"/>
      </tp>
      <tp t="s">
        <v>#N/A N/A</v>
        <stp/>
        <stp>BDP|317579569048636553</stp>
        <tr r="N219" s="2"/>
      </tp>
      <tp t="s">
        <v>#N/A N/A</v>
        <stp/>
        <stp>BDP|286965642157037481</stp>
        <tr r="F314" s="2"/>
      </tp>
      <tp t="s">
        <v>#N/A N/A</v>
        <stp/>
        <stp>BDP|279881324655897184</stp>
        <tr r="M298" s="2"/>
      </tp>
      <tp t="s">
        <v>#N/A N/A</v>
        <stp/>
        <stp>BDP|367923338982310649</stp>
        <tr r="L288" s="2"/>
      </tp>
      <tp t="s">
        <v>#N/A Requesting Data...4125371521</v>
        <stp/>
        <stp>BDP|610730219141086947</stp>
        <tr r="O3" s="1"/>
        <tr r="M20" s="2"/>
      </tp>
      <tp t="s">
        <v>#N/A N/A</v>
        <stp/>
        <stp>BDP|185680654974530901</stp>
        <tr r="J122" s="2"/>
      </tp>
      <tp t="s">
        <v>#N/A Requesting Data...3453893236</v>
        <stp/>
        <stp>BDP|655896444447554589</stp>
        <tr r="F22" s="1"/>
        <tr r="D152" s="2"/>
      </tp>
      <tp t="s">
        <v>#N/A N/A</v>
        <stp/>
        <stp>BDP|637110657562677817</stp>
        <tr r="M255" s="2"/>
      </tp>
      <tp t="s">
        <v>#N/A N/A</v>
        <stp/>
        <stp>BDP|173507694662423010</stp>
        <tr r="C189" s="2"/>
      </tp>
      <tp t="s">
        <v>#N/A N/A</v>
        <stp/>
        <stp>BDP|290826334005328078</stp>
        <tr r="M122" s="2"/>
      </tp>
      <tp t="s">
        <v>#N/A N/A</v>
        <stp/>
        <stp>BDP|460125783564112361</stp>
        <tr r="H166" s="2"/>
      </tp>
      <tp t="s">
        <v>#N/A N/A</v>
        <stp/>
        <stp>BDP|376080038585617865</stp>
        <tr r="L222" s="2"/>
      </tp>
      <tp t="s">
        <v>#N/A N/A</v>
        <stp/>
        <stp>BDP|180884846806846391</stp>
        <tr r="M256" s="2"/>
      </tp>
      <tp t="s">
        <v>#N/A N/A</v>
        <stp/>
        <stp>BDP|356709898197151024</stp>
        <tr r="D185" s="2"/>
      </tp>
      <tp t="s">
        <v>#N/A Requesting Data...3850348692</v>
        <stp/>
        <stp>BDP|964584642309222196</stp>
        <tr r="G41" s="1"/>
        <tr r="E303" s="2"/>
      </tp>
      <tp t="s">
        <v>#N/A N/A</v>
        <stp/>
        <stp>BDP|947731774339075064</stp>
        <tr r="F144" s="2"/>
      </tp>
      <tp t="s">
        <v>#N/A N/A</v>
        <stp/>
        <stp>BDP|489876765197414085</stp>
        <tr r="D199" s="2"/>
      </tp>
      <tp t="s">
        <v>#N/A N/A</v>
        <stp/>
        <stp>BDP|215020020873519815</stp>
        <tr r="E119" s="2"/>
      </tp>
      <tp t="s">
        <v>#N/A N/A</v>
        <stp/>
        <stp>BDP|333821741096447316</stp>
        <tr r="H17" s="2"/>
      </tp>
      <tp t="s">
        <v>#N/A N/A</v>
        <stp/>
        <stp>BDP|166270535949608131</stp>
        <tr r="E53" s="2"/>
      </tp>
      <tp t="s">
        <v>#N/A Requesting Data...3886551326</v>
        <stp/>
        <stp>BDP|761339253509881688</stp>
        <tr r="P12" s="1"/>
        <tr r="N85" s="2"/>
      </tp>
      <tp t="s">
        <v>#N/A N/A</v>
        <stp/>
        <stp>BDP|339859681758463140</stp>
        <tr r="N253" s="2"/>
      </tp>
      <tp t="s">
        <v>#N/A Requesting Data...3520866227</v>
        <stp/>
        <stp>BDP|279799539739602434</stp>
        <tr r="L23" s="1"/>
        <tr r="J155" s="2"/>
      </tp>
      <tp t="s">
        <v>#N/A N/A</v>
        <stp/>
        <stp>BDP|836744613449902617</stp>
        <tr r="G283" s="2"/>
      </tp>
      <tp t="s">
        <v>#N/A N/A</v>
        <stp/>
        <stp>BDP|188210488731174290</stp>
        <tr r="I268" s="2"/>
      </tp>
      <tp t="s">
        <v>#N/A N/A</v>
        <stp/>
        <stp>BDP|491762399443335489</stp>
        <tr r="M224" s="2"/>
      </tp>
      <tp t="s">
        <v>#N/A N/A</v>
        <stp/>
        <stp>BDP|721350268155263998</stp>
        <tr r="L88" s="2"/>
      </tp>
      <tp t="s">
        <v>#N/A N/A</v>
        <stp/>
        <stp>BDP|626251256346411839</stp>
        <tr r="F88" s="2"/>
      </tp>
      <tp t="s">
        <v>#N/A N/A</v>
        <stp/>
        <stp>BDP|751616091143623520</stp>
        <tr r="H57" s="2"/>
      </tp>
    </main>
    <main first="bofaddin.rtdserver">
      <tp t="s">
        <v>#N/A N/A</v>
        <stp/>
        <stp>BDP|374038149355023952</stp>
        <tr r="N314" s="2"/>
      </tp>
      <tp t="s">
        <v>#N/A N/A</v>
        <stp/>
        <stp>BDP|366232579269540401</stp>
        <tr r="M296" s="2"/>
      </tp>
      <tp t="s">
        <v>#N/A N/A</v>
        <stp/>
        <stp>BDP|993855776406779133</stp>
        <tr r="C112" s="2"/>
      </tp>
      <tp t="s">
        <v>#N/A N/A</v>
        <stp/>
        <stp>BDP|687598938666071897</stp>
        <tr r="E68" s="2"/>
      </tp>
      <tp t="s">
        <v>#N/A N/A</v>
        <stp/>
        <stp>BDP|154035898362061343</stp>
        <tr r="I18" s="2"/>
      </tp>
      <tp t="s">
        <v>#N/A Requesting Data...3459928135</v>
        <stp/>
        <stp>BDP|861436794710329549</stp>
        <tr r="I10" s="1"/>
        <tr r="G74" s="2"/>
      </tp>
      <tp t="s">
        <v>#N/A N/A</v>
        <stp/>
        <stp>BDP|351063838989388271</stp>
        <tr r="E222" s="2"/>
      </tp>
      <tp t="s">
        <v>#N/A N/A</v>
        <stp/>
        <stp>BDP|220931181611759824</stp>
        <tr r="J285" s="2"/>
      </tp>
      <tp t="s">
        <v>#N/A N/A</v>
        <stp/>
        <stp>BDP|453097990674271580</stp>
        <tr r="J67" s="2"/>
      </tp>
      <tp t="s">
        <v>#N/A N/A</v>
        <stp/>
        <stp>BDP|292799785321984662</stp>
        <tr r="I211" s="2"/>
      </tp>
      <tp t="s">
        <v>#N/A N/A</v>
        <stp/>
        <stp>BDP|100912015147424706</stp>
        <tr r="I209" s="2"/>
      </tp>
      <tp t="s">
        <v>#N/A Requesting Data...3294131139</v>
        <stp/>
        <stp>BDP|353018041369968580</stp>
        <tr r="L24" s="1"/>
        <tr r="J157" s="2"/>
      </tp>
      <tp t="s">
        <v>#N/A N/A</v>
        <stp/>
        <stp>BDP|328708028006412819</stp>
        <tr r="L250" s="2"/>
      </tp>
      <tp t="s">
        <v>#N/A N/A</v>
        <stp/>
        <stp>BDP|901750649869914149</stp>
        <tr r="F190" s="2"/>
      </tp>
      <tp t="s">
        <v>#N/A N/A</v>
        <stp/>
        <stp>BDP|732141969034635863</stp>
        <tr r="G15" s="2"/>
      </tp>
      <tp t="s">
        <v>#N/A N/A</v>
        <stp/>
        <stp>BDP|334033543468267749</stp>
        <tr r="M202" s="2"/>
      </tp>
      <tp t="s">
        <v>#N/A N/A</v>
        <stp/>
        <stp>BDP|684343884114069437</stp>
        <tr r="L64" s="2"/>
      </tp>
      <tp t="s">
        <v>#N/A N/A</v>
        <stp/>
        <stp>BDP|902535559522766929</stp>
        <tr r="G88" s="2"/>
      </tp>
      <tp t="s">
        <v>#N/A N/A</v>
        <stp/>
        <stp>BDP|524444113249394702</stp>
        <tr r="F280" s="2"/>
      </tp>
      <tp t="s">
        <v>#N/A N/A</v>
        <stp/>
        <stp>BDP|730486070749752197</stp>
        <tr r="D7" s="2"/>
      </tp>
      <tp t="s">
        <v>#N/A N/A</v>
        <stp/>
        <stp>BDP|511087885335667723</stp>
        <tr r="D263" s="2"/>
      </tp>
      <tp t="s">
        <v>#N/A N/A</v>
        <stp/>
        <stp>BDP|300239581561945157</stp>
        <tr r="N56" s="2"/>
      </tp>
      <tp t="s">
        <v>#N/A N/A</v>
        <stp/>
        <stp>BDP|996337392449031966</stp>
        <tr r="I171" s="2"/>
      </tp>
      <tp t="s">
        <v>#N/A N/A</v>
        <stp/>
        <stp>BDP|695050496714993723</stp>
        <tr r="D128" s="2"/>
      </tp>
      <tp t="s">
        <v>#N/A N/A</v>
        <stp/>
        <stp>BDP|305178234248866011</stp>
        <tr r="F40" s="2"/>
      </tp>
      <tp t="s">
        <v>#N/A N/A</v>
        <stp/>
        <stp>BDP|855107057037944928</stp>
        <tr r="D283" s="2"/>
      </tp>
      <tp t="s">
        <v>#N/A N/A</v>
        <stp/>
        <stp>BDP|246760236888556611</stp>
        <tr r="C107" s="2"/>
      </tp>
      <tp t="s">
        <v>#N/A N/A</v>
        <stp/>
        <stp>BDP|234958219612843012</stp>
        <tr r="N185" s="2"/>
      </tp>
      <tp t="s">
        <v>#N/A N/A</v>
        <stp/>
        <stp>BDP|218193198510380208</stp>
        <tr r="N236" s="2"/>
      </tp>
      <tp t="s">
        <v>#N/A N/A</v>
        <stp/>
        <stp>BDP|639373864228785730</stp>
        <tr r="J166" s="2"/>
      </tp>
      <tp t="s">
        <v>#N/A Requesting Data...3397799916</v>
        <stp/>
        <stp>BDP|746186569374287950</stp>
        <tr r="F26" s="1"/>
        <tr r="D180" s="2"/>
      </tp>
      <tp t="s">
        <v>#N/A N/A</v>
        <stp/>
        <stp>BDP|144987999202511840</stp>
        <tr r="N313" s="2"/>
      </tp>
      <tp t="s">
        <v>#N/A N/A</v>
        <stp/>
        <stp>BDP|149036485747405516</stp>
        <tr r="F79" s="2"/>
      </tp>
      <tp t="s">
        <v>#N/A Requesting Data...3931257643</v>
        <stp/>
        <stp>BDP|898647174192868932</stp>
        <tr r="E41" s="1"/>
        <tr r="C30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HOLT Factor</a:t>
            </a:r>
            <a:r>
              <a:rPr lang="en-US" baseline="0"/>
              <a:t> Exposures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net!$E$2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net!$B$3:$B$5</c:f>
              <c:strCache>
                <c:ptCount val="3"/>
                <c:pt idx="0">
                  <c:v>Weighted Average Quality Exposure </c:v>
                </c:pt>
                <c:pt idx="1">
                  <c:v>Weighted Average Value Exposure </c:v>
                </c:pt>
                <c:pt idx="2">
                  <c:v>Weighted Average Momentum Exposure </c:v>
                </c:pt>
              </c:strCache>
            </c:strRef>
          </c:cat>
          <c:val>
            <c:numRef>
              <c:f>net!$E$3:$E$5</c:f>
              <c:numCache>
                <c:formatCode>General</c:formatCode>
                <c:ptCount val="3"/>
                <c:pt idx="0">
                  <c:v>16.306790383680053</c:v>
                </c:pt>
                <c:pt idx="1">
                  <c:v>-0.76407349707977801</c:v>
                </c:pt>
                <c:pt idx="2">
                  <c:v>-5.4206734958742686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4-49C7-ADFE-0B792642C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881743"/>
        <c:axId val="992877119"/>
      </c:barChart>
      <c:catAx>
        <c:axId val="70488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77119"/>
        <c:crosses val="autoZero"/>
        <c:auto val="1"/>
        <c:lblAlgn val="ctr"/>
        <c:lblOffset val="100"/>
        <c:noMultiLvlLbl val="0"/>
      </c:catAx>
      <c:valAx>
        <c:axId val="9928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8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957262</xdr:colOff>
      <xdr:row>12</xdr:row>
      <xdr:rowOff>52387</xdr:rowOff>
    </xdr:from>
    <xdr:to>
      <xdr:col>14</xdr:col>
      <xdr:colOff>133350</xdr:colOff>
      <xdr:row>30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7F488-1EDE-37A6-5C1A-0E4CD7BE2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AC4D-1CAC-4F76-BD7D-76E3876DB4B6}">
  <dimension ref="A1:P41"/>
  <sheetViews>
    <sheetView tabSelected="1" topLeftCell="D1" zoomScale="85" zoomScaleNormal="85" workbookViewId="0">
      <selection activeCell="N38" sqref="N38"/>
    </sheetView>
  </sheetViews>
  <sheetFormatPr defaultRowHeight="15" x14ac:dyDescent="0.25"/>
  <cols>
    <col min="1" max="1" width="18.7109375" bestFit="1" customWidth="1"/>
    <col min="2" max="6" width="19.85546875" customWidth="1"/>
    <col min="7" max="16" width="13.28515625" customWidth="1"/>
  </cols>
  <sheetData>
    <row r="1" spans="1:16" x14ac:dyDescent="0.25">
      <c r="A1" s="10" t="s">
        <v>0</v>
      </c>
      <c r="B1" s="10"/>
      <c r="C1" s="1" t="s">
        <v>20</v>
      </c>
      <c r="D1" s="1" t="s">
        <v>21</v>
      </c>
      <c r="E1" s="1"/>
      <c r="F1" s="1"/>
    </row>
    <row r="2" spans="1:16" ht="30" x14ac:dyDescent="0.25">
      <c r="A2" t="s">
        <v>1</v>
      </c>
      <c r="B2" s="2"/>
      <c r="C2" s="2"/>
      <c r="D2" s="2"/>
      <c r="E2" s="2" t="s">
        <v>22</v>
      </c>
      <c r="F2" s="2" t="s">
        <v>23</v>
      </c>
      <c r="G2" s="7" t="s">
        <v>2</v>
      </c>
      <c r="H2" s="8" t="s">
        <v>3</v>
      </c>
      <c r="I2" s="7" t="s">
        <v>4</v>
      </c>
      <c r="J2" s="7" t="s">
        <v>5</v>
      </c>
      <c r="K2" s="9" t="s">
        <v>6</v>
      </c>
      <c r="L2" s="7" t="s">
        <v>7</v>
      </c>
      <c r="M2" s="7" t="s">
        <v>8</v>
      </c>
      <c r="N2" s="7" t="s">
        <v>9</v>
      </c>
      <c r="O2" s="7" t="s">
        <v>10</v>
      </c>
      <c r="P2" s="7" t="s">
        <v>11</v>
      </c>
    </row>
    <row r="3" spans="1:16" x14ac:dyDescent="0.25">
      <c r="A3" t="str" cm="1">
        <f t="array" ref="A3:B41">_xll.BDS(A2,"Portfolio_mweight","Portfolio_mweight")</f>
        <v>AHT LN Equity</v>
      </c>
      <c r="B3" s="3">
        <v>2.8094335442339999</v>
      </c>
      <c r="C3" s="3">
        <f>VLOOKUP(A3,_xlfn.ANCHORARRAY(core!$A$3),2,FALSE)</f>
        <v>0.35400418867099998</v>
      </c>
      <c r="D3" s="3">
        <f>B3-C3</f>
        <v>2.455429355563</v>
      </c>
      <c r="E3" s="3" t="str" cm="1">
        <f t="array" ref="E3">_xll.BDP(A3,"GICS_SECTOR_NAME")</f>
        <v>Industrials</v>
      </c>
      <c r="F3" s="3" t="str" cm="1">
        <f t="array" ref="F3">_xll.BDP(A3,"GICS_INDUSTRY_NAME")</f>
        <v>Trading Companies &amp; Distributo</v>
      </c>
      <c r="G3" s="4" cm="1">
        <f t="array" ref="G3">_xll.BDP($A3,"UD_OVERALL_FACTOR_PERCENTILE")</f>
        <v>52.88</v>
      </c>
      <c r="H3" s="5" cm="1">
        <f t="array" ref="H3">_xll.BDP($A3,"UD_OPERATING_QUALITY_FP")</f>
        <v>76.58</v>
      </c>
      <c r="I3" s="4" cm="1">
        <f t="array" ref="I3">_xll.BDP($A3,"UD_OPERATING_QUALITY_RANK")</f>
        <v>83</v>
      </c>
      <c r="J3" s="4" cm="1">
        <f t="array" ref="J3">_xll.BDP($A3,"UD_GROWTH_PERCENTILE")</f>
        <v>57.99</v>
      </c>
      <c r="K3" s="6" cm="1">
        <f t="array" ref="K3">_xll.BDP($A3,"UD_GROWTH_RANK")</f>
        <v>69</v>
      </c>
      <c r="L3" s="4" cm="1">
        <f t="array" ref="L3">_xll.BDP($A3,"UD_VALUATION_PERCENTILE")</f>
        <v>44.74</v>
      </c>
      <c r="M3" s="4" cm="1">
        <f t="array" ref="M3">_xll.BDP($A3,"UD_VALUATION_RANK")</f>
        <v>45</v>
      </c>
      <c r="N3" s="4" cm="1">
        <f t="array" ref="N3">_xll.BDP($A3,"UD_MOMENTUM_PERCENTILE")</f>
        <v>37.56</v>
      </c>
      <c r="O3" s="4" cm="1">
        <f t="array" ref="O3">_xll.BDP($A3,"UD_MOMENTUM_RANK")</f>
        <v>25</v>
      </c>
      <c r="P3" s="4" cm="1">
        <f t="array" ref="P3">_xll.BDP($A3,"UD_RISK_PERCENTILE")</f>
        <v>38.020000000000003</v>
      </c>
    </row>
    <row r="4" spans="1:16" x14ac:dyDescent="0.25">
      <c r="A4" t="str">
        <v>AI FP Equity</v>
      </c>
      <c r="B4" s="3">
        <v>2.1795708193699999</v>
      </c>
      <c r="C4" s="3">
        <f>VLOOKUP(A4,_xlfn.ANCHORARRAY(core!$A$3),2,FALSE)</f>
        <v>0.69688519442100005</v>
      </c>
      <c r="D4" s="3">
        <f t="shared" ref="D4:D41" si="0">B4-C4</f>
        <v>1.4826856249489997</v>
      </c>
      <c r="E4" s="3" t="str" cm="1">
        <f t="array" ref="E4">_xll.BDP(A4,"GICS_SECTOR_NAME")</f>
        <v>Materials</v>
      </c>
      <c r="F4" s="3" t="str" cm="1">
        <f t="array" ref="F4">_xll.BDP(A4,"GICS_INDUSTRY_NAME")</f>
        <v>Chemicals</v>
      </c>
      <c r="G4" s="4" cm="1">
        <f t="array" ref="G4">_xll.BDP($A4,"UD_OVERALL_FACTOR_PERCENTILE")</f>
        <v>49.6</v>
      </c>
      <c r="H4" s="5" cm="1">
        <f t="array" ref="H4">_xll.BDP($A4,"UD_OPERATING_QUALITY_FP")</f>
        <v>78.569999999999993</v>
      </c>
      <c r="I4" s="4" cm="1">
        <f t="array" ref="I4">_xll.BDP($A4,"UD_OPERATING_QUALITY_RANK")</f>
        <v>85</v>
      </c>
      <c r="J4" s="4" cm="1">
        <f t="array" ref="J4">_xll.BDP($A4,"UD_GROWTH_PERCENTILE")</f>
        <v>44.54</v>
      </c>
      <c r="K4" s="6" cm="1">
        <f t="array" ref="K4">_xll.BDP($A4,"UD_GROWTH_RANK")</f>
        <v>37</v>
      </c>
      <c r="L4" s="4" cm="1">
        <f t="array" ref="L4">_xll.BDP($A4,"UD_VALUATION_PERCENTILE")</f>
        <v>18.579999999999998</v>
      </c>
      <c r="M4" s="4" cm="1">
        <f t="array" ref="M4">_xll.BDP($A4,"UD_VALUATION_RANK")</f>
        <v>5</v>
      </c>
      <c r="N4" s="4" cm="1">
        <f t="array" ref="N4">_xll.BDP($A4,"UD_MOMENTUM_PERCENTILE")</f>
        <v>52.58</v>
      </c>
      <c r="O4" s="4" cm="1">
        <f t="array" ref="O4">_xll.BDP($A4,"UD_MOMENTUM_RANK")</f>
        <v>64</v>
      </c>
      <c r="P4" s="4" cm="1">
        <f t="array" ref="P4">_xll.BDP($A4,"UD_RISK_PERCENTILE")</f>
        <v>86.08</v>
      </c>
    </row>
    <row r="5" spans="1:16" x14ac:dyDescent="0.25">
      <c r="A5" t="str">
        <v>ALV GY Equity</v>
      </c>
      <c r="B5" s="3">
        <v>3.3822893496350002</v>
      </c>
      <c r="C5" s="3">
        <f>VLOOKUP(A5,_xlfn.ANCHORARRAY(core!$A$3),2,FALSE)</f>
        <v>1.4603468453999999</v>
      </c>
      <c r="D5" s="3">
        <f t="shared" si="0"/>
        <v>1.9219425042350002</v>
      </c>
      <c r="E5" s="3" t="str" cm="1">
        <f t="array" ref="E5">_xll.BDP(A5,"GICS_SECTOR_NAME")</f>
        <v>Financials</v>
      </c>
      <c r="F5" s="3" t="str" cm="1">
        <f t="array" ref="F5">_xll.BDP(A5,"GICS_INDUSTRY_NAME")</f>
        <v>Insurance</v>
      </c>
      <c r="G5" s="4" cm="1">
        <f t="array" ref="G5">_xll.BDP($A5,"UD_OVERALL_FACTOR_PERCENTILE")</f>
        <v>46.57</v>
      </c>
      <c r="H5" s="5" cm="1">
        <f t="array" ref="H5">_xll.BDP($A5,"UD_OPERATING_QUALITY_FP")</f>
        <v>59.09</v>
      </c>
      <c r="I5" s="4" cm="1">
        <f t="array" ref="I5">_xll.BDP($A5,"UD_OPERATING_QUALITY_RANK")</f>
        <v>67</v>
      </c>
      <c r="J5" s="4" cm="1">
        <f t="array" ref="J5">_xll.BDP($A5,"UD_GROWTH_PERCENTILE")</f>
        <v>65.22</v>
      </c>
      <c r="K5" s="6" cm="1">
        <f t="array" ref="K5">_xll.BDP($A5,"UD_GROWTH_RANK")</f>
        <v>82</v>
      </c>
      <c r="L5" s="4" cm="1">
        <f t="array" ref="L5">_xll.BDP($A5,"UD_VALUATION_PERCENTILE")</f>
        <v>34.229999999999997</v>
      </c>
      <c r="M5" s="4" cm="1">
        <f t="array" ref="M5">_xll.BDP($A5,"UD_VALUATION_RANK")</f>
        <v>28</v>
      </c>
      <c r="N5" s="4" cm="1">
        <f t="array" ref="N5">_xll.BDP($A5,"UD_MOMENTUM_PERCENTILE")</f>
        <v>46.77</v>
      </c>
      <c r="O5" s="4" cm="1">
        <f t="array" ref="O5">_xll.BDP($A5,"UD_MOMENTUM_RANK")</f>
        <v>28</v>
      </c>
      <c r="P5" s="4" cm="1">
        <f t="array" ref="P5">_xll.BDP($A5,"UD_RISK_PERCENTILE")</f>
        <v>69.34</v>
      </c>
    </row>
    <row r="6" spans="1:16" x14ac:dyDescent="0.25">
      <c r="A6" t="str">
        <v>AMS SM Equity</v>
      </c>
      <c r="B6" s="3">
        <v>2.0556750825100001</v>
      </c>
      <c r="C6" s="3">
        <f>VLOOKUP(A6,_xlfn.ANCHORARRAY(core!$A$3),2,FALSE)</f>
        <v>0.26983942894099999</v>
      </c>
      <c r="D6" s="3">
        <f t="shared" si="0"/>
        <v>1.7858356535690001</v>
      </c>
      <c r="E6" s="3" t="str" cm="1">
        <f t="array" ref="E6">_xll.BDP(A6,"GICS_SECTOR_NAME")</f>
        <v>Consumer Discretionary</v>
      </c>
      <c r="F6" s="3" t="str" cm="1">
        <f t="array" ref="F6">_xll.BDP(A6,"GICS_INDUSTRY_NAME")</f>
        <v>Hotels, Restaurants &amp; Leisure</v>
      </c>
      <c r="G6" s="4" cm="1">
        <f t="array" ref="G6">_xll.BDP($A6,"UD_OVERALL_FACTOR_PERCENTILE")</f>
        <v>45.01</v>
      </c>
      <c r="H6" s="5" cm="1">
        <f t="array" ref="H6">_xll.BDP($A6,"UD_OPERATING_QUALITY_FP")</f>
        <v>58.96</v>
      </c>
      <c r="I6" s="4" cm="1">
        <f t="array" ref="I6">_xll.BDP($A6,"UD_OPERATING_QUALITY_RANK")</f>
        <v>59</v>
      </c>
      <c r="J6" s="4" cm="1">
        <f t="array" ref="J6">_xll.BDP($A6,"UD_GROWTH_PERCENTILE")</f>
        <v>43.19</v>
      </c>
      <c r="K6" s="6" cm="1">
        <f t="array" ref="K6">_xll.BDP($A6,"UD_GROWTH_RANK")</f>
        <v>34</v>
      </c>
      <c r="L6" s="4" cm="1">
        <f t="array" ref="L6">_xll.BDP($A6,"UD_VALUATION_PERCENTILE")</f>
        <v>21.66</v>
      </c>
      <c r="M6" s="4" cm="1">
        <f t="array" ref="M6">_xll.BDP($A6,"UD_VALUATION_RANK")</f>
        <v>9</v>
      </c>
      <c r="N6" s="4" cm="1">
        <f t="array" ref="N6">_xll.BDP($A6,"UD_MOMENTUM_PERCENTILE")</f>
        <v>55.13</v>
      </c>
      <c r="O6" s="4" cm="1">
        <f t="array" ref="O6">_xll.BDP($A6,"UD_MOMENTUM_RANK")</f>
        <v>66</v>
      </c>
      <c r="P6" s="4" cm="1">
        <f t="array" ref="P6">_xll.BDP($A6,"UD_RISK_PERCENTILE")</f>
        <v>55.14</v>
      </c>
    </row>
    <row r="7" spans="1:16" x14ac:dyDescent="0.25">
      <c r="A7" t="str">
        <v>ASML NA Equity</v>
      </c>
      <c r="B7" s="3">
        <v>4.3540219929089998</v>
      </c>
      <c r="C7" s="3">
        <f>VLOOKUP(A7,_xlfn.ANCHORARRAY(core!$A$3),2,FALSE)</f>
        <v>2.5426793787620001</v>
      </c>
      <c r="D7" s="3">
        <f t="shared" si="0"/>
        <v>1.8113426141469997</v>
      </c>
      <c r="E7" s="3" t="str" cm="1">
        <f t="array" ref="E7">_xll.BDP(A7,"GICS_SECTOR_NAME")</f>
        <v>Information Technology</v>
      </c>
      <c r="F7" s="3" t="str" cm="1">
        <f t="array" ref="F7">_xll.BDP(A7,"GICS_INDUSTRY_NAME")</f>
        <v>Semiconductors &amp; Semiconductor</v>
      </c>
      <c r="G7" s="4" cm="1">
        <f t="array" ref="G7">_xll.BDP($A7,"UD_OVERALL_FACTOR_PERCENTILE")</f>
        <v>59.27</v>
      </c>
      <c r="H7" s="5" cm="1">
        <f t="array" ref="H7">_xll.BDP($A7,"UD_OPERATING_QUALITY_FP")</f>
        <v>74.290000000000006</v>
      </c>
      <c r="I7" s="4" cm="1">
        <f t="array" ref="I7">_xll.BDP($A7,"UD_OPERATING_QUALITY_RANK")</f>
        <v>79</v>
      </c>
      <c r="J7" s="4" cm="1">
        <f t="array" ref="J7">_xll.BDP($A7,"UD_GROWTH_PERCENTILE")</f>
        <v>66.39</v>
      </c>
      <c r="K7" s="6" cm="1">
        <f t="array" ref="K7">_xll.BDP($A7,"UD_GROWTH_RANK")</f>
        <v>85</v>
      </c>
      <c r="L7" s="4" cm="1">
        <f t="array" ref="L7">_xll.BDP($A7,"UD_VALUATION_PERCENTILE")</f>
        <v>50.24</v>
      </c>
      <c r="M7" s="4" cm="1">
        <f t="array" ref="M7">_xll.BDP($A7,"UD_VALUATION_RANK")</f>
        <v>57</v>
      </c>
      <c r="N7" s="4" cm="1">
        <f t="array" ref="N7">_xll.BDP($A7,"UD_MOMENTUM_PERCENTILE")</f>
        <v>53.54</v>
      </c>
      <c r="O7" s="4" cm="1">
        <f t="array" ref="O7">_xll.BDP($A7,"UD_MOMENTUM_RANK")</f>
        <v>61</v>
      </c>
      <c r="P7" s="4" cm="1">
        <f t="array" ref="P7">_xll.BDP($A7,"UD_RISK_PERCENTILE")</f>
        <v>24.39</v>
      </c>
    </row>
    <row r="8" spans="1:16" x14ac:dyDescent="0.25">
      <c r="A8" t="str">
        <v>ASSAB SS Equity</v>
      </c>
      <c r="B8" s="3">
        <v>2.938411283342</v>
      </c>
      <c r="C8" s="3">
        <f>VLOOKUP(A8,_xlfn.ANCHORARRAY(core!$A$3),2,FALSE)</f>
        <v>0.40512619426099999</v>
      </c>
      <c r="D8" s="3">
        <f t="shared" si="0"/>
        <v>2.5332850890810001</v>
      </c>
      <c r="E8" s="3" t="str" cm="1">
        <f t="array" ref="E8">_xll.BDP(A8,"GICS_SECTOR_NAME")</f>
        <v>Industrials</v>
      </c>
      <c r="F8" s="3" t="str" cm="1">
        <f t="array" ref="F8">_xll.BDP(A8,"GICS_INDUSTRY_NAME")</f>
        <v>Building Products</v>
      </c>
      <c r="G8" s="4" cm="1">
        <f t="array" ref="G8">_xll.BDP($A8,"UD_OVERALL_FACTOR_PERCENTILE")</f>
        <v>56.38</v>
      </c>
      <c r="H8" s="5" cm="1">
        <f t="array" ref="H8">_xll.BDP($A8,"UD_OPERATING_QUALITY_FP")</f>
        <v>84.74</v>
      </c>
      <c r="I8" s="4" cm="1">
        <f t="array" ref="I8">_xll.BDP($A8,"UD_OPERATING_QUALITY_RANK")</f>
        <v>96</v>
      </c>
      <c r="J8" s="4" cm="1">
        <f t="array" ref="J8">_xll.BDP($A8,"UD_GROWTH_PERCENTILE")</f>
        <v>51.97</v>
      </c>
      <c r="K8" s="6" cm="1">
        <f t="array" ref="K8">_xll.BDP($A8,"UD_GROWTH_RANK")</f>
        <v>54</v>
      </c>
      <c r="L8" s="4" cm="1">
        <f t="array" ref="L8">_xll.BDP($A8,"UD_VALUATION_PERCENTILE")</f>
        <v>26.24</v>
      </c>
      <c r="M8" s="4" cm="1">
        <f t="array" ref="M8">_xll.BDP($A8,"UD_VALUATION_RANK")</f>
        <v>20</v>
      </c>
      <c r="N8" s="4" cm="1">
        <f t="array" ref="N8">_xll.BDP($A8,"UD_MOMENTUM_PERCENTILE")</f>
        <v>59.09</v>
      </c>
      <c r="O8" s="4" cm="1">
        <f t="array" ref="O8">_xll.BDP($A8,"UD_MOMENTUM_RANK")</f>
        <v>69</v>
      </c>
      <c r="P8" s="4" cm="1">
        <f t="array" ref="P8">_xll.BDP($A8,"UD_RISK_PERCENTILE")</f>
        <v>73.37</v>
      </c>
    </row>
    <row r="9" spans="1:16" x14ac:dyDescent="0.25">
      <c r="A9" t="str">
        <v>AZN LN Equity</v>
      </c>
      <c r="B9" s="3">
        <v>3.8394980957690001</v>
      </c>
      <c r="C9" s="3">
        <f>VLOOKUP(A9,_xlfn.ANCHORARRAY(core!$A$3),2,FALSE)</f>
        <v>2.1305932907530001</v>
      </c>
      <c r="D9" s="3">
        <f t="shared" si="0"/>
        <v>1.7089048050160001</v>
      </c>
      <c r="E9" s="3" t="str" cm="1">
        <f t="array" ref="E9">_xll.BDP(A9,"GICS_SECTOR_NAME")</f>
        <v>Health Care</v>
      </c>
      <c r="F9" s="3" t="str" cm="1">
        <f t="array" ref="F9">_xll.BDP(A9,"GICS_INDUSTRY_NAME")</f>
        <v>Pharmaceuticals</v>
      </c>
      <c r="G9" s="4" cm="1">
        <f t="array" ref="G9">_xll.BDP($A9,"UD_OVERALL_FACTOR_PERCENTILE")</f>
        <v>57.53</v>
      </c>
      <c r="H9" s="5" cm="1">
        <f t="array" ref="H9">_xll.BDP($A9,"UD_OPERATING_QUALITY_FP")</f>
        <v>57.33</v>
      </c>
      <c r="I9" s="4" cm="1">
        <f t="array" ref="I9">_xll.BDP($A9,"UD_OPERATING_QUALITY_RANK")</f>
        <v>61</v>
      </c>
      <c r="J9" s="4" cm="1">
        <f t="array" ref="J9">_xll.BDP($A9,"UD_GROWTH_PERCENTILE")</f>
        <v>45.43</v>
      </c>
      <c r="K9" s="6" cm="1">
        <f t="array" ref="K9">_xll.BDP($A9,"UD_GROWTH_RANK")</f>
        <v>39</v>
      </c>
      <c r="L9" s="4" cm="1">
        <f t="array" ref="L9">_xll.BDP($A9,"UD_VALUATION_PERCENTILE")</f>
        <v>65.06</v>
      </c>
      <c r="M9" s="4" cm="1">
        <f t="array" ref="M9">_xll.BDP($A9,"UD_VALUATION_RANK")</f>
        <v>77</v>
      </c>
      <c r="N9" s="4" cm="1">
        <f t="array" ref="N9">_xll.BDP($A9,"UD_MOMENTUM_PERCENTILE")</f>
        <v>49.96</v>
      </c>
      <c r="O9" s="4" cm="1">
        <f t="array" ref="O9">_xll.BDP($A9,"UD_MOMENTUM_RANK")</f>
        <v>52</v>
      </c>
      <c r="P9" s="4" cm="1">
        <f t="array" ref="P9">_xll.BDP($A9,"UD_RISK_PERCENTILE")</f>
        <v>81.27</v>
      </c>
    </row>
    <row r="10" spans="1:16" x14ac:dyDescent="0.25">
      <c r="A10" t="str">
        <v>CLNX SM Equity</v>
      </c>
      <c r="B10" s="3">
        <v>1.239405570892</v>
      </c>
      <c r="C10" s="3">
        <f>VLOOKUP(A10,_xlfn.ANCHORARRAY(core!$A$3),2,FALSE)</f>
        <v>0.108410893853</v>
      </c>
      <c r="D10" s="3">
        <f t="shared" si="0"/>
        <v>1.130994677039</v>
      </c>
      <c r="E10" s="3" t="str" cm="1">
        <f t="array" ref="E10">_xll.BDP(A10,"GICS_SECTOR_NAME")</f>
        <v>Communication Services</v>
      </c>
      <c r="F10" s="3" t="str" cm="1">
        <f t="array" ref="F10">_xll.BDP(A10,"GICS_INDUSTRY_NAME")</f>
        <v>Diversified Telecommunication</v>
      </c>
      <c r="G10" s="4" cm="1">
        <f t="array" ref="G10">_xll.BDP($A10,"UD_OVERALL_FACTOR_PERCENTILE")</f>
        <v>42.4</v>
      </c>
      <c r="H10" s="5" cm="1">
        <f t="array" ref="H10">_xll.BDP($A10,"UD_OPERATING_QUALITY_FP")</f>
        <v>56.59</v>
      </c>
      <c r="I10" s="4" cm="1">
        <f t="array" ref="I10">_xll.BDP($A10,"UD_OPERATING_QUALITY_RANK")</f>
        <v>57</v>
      </c>
      <c r="J10" s="4" cm="1">
        <f t="array" ref="J10">_xll.BDP($A10,"UD_GROWTH_PERCENTILE")</f>
        <v>53.71</v>
      </c>
      <c r="K10" s="6" cm="1">
        <f t="array" ref="K10">_xll.BDP($A10,"UD_GROWTH_RANK")</f>
        <v>59</v>
      </c>
      <c r="L10" s="4" cm="1">
        <f t="array" ref="L10">_xll.BDP($A10,"UD_VALUATION_PERCENTILE")</f>
        <v>31.61</v>
      </c>
      <c r="M10" s="4" cm="1">
        <f t="array" ref="M10">_xll.BDP($A10,"UD_VALUATION_RANK")</f>
        <v>21</v>
      </c>
      <c r="N10" s="4" cm="1">
        <f t="array" ref="N10">_xll.BDP($A10,"UD_MOMENTUM_PERCENTILE")</f>
        <v>39.340000000000003</v>
      </c>
      <c r="O10" s="4" cm="1">
        <f t="array" ref="O10">_xll.BDP($A10,"UD_MOMENTUM_RANK")</f>
        <v>20</v>
      </c>
      <c r="P10" s="4" cm="1">
        <f t="array" ref="P10">_xll.BDP($A10,"UD_RISK_PERCENTILE")</f>
        <v>74.56</v>
      </c>
    </row>
    <row r="11" spans="1:16" x14ac:dyDescent="0.25">
      <c r="A11" t="str">
        <v>CPG LN Equity</v>
      </c>
      <c r="B11" s="3">
        <v>2.3088021794300002</v>
      </c>
      <c r="C11" s="3">
        <f>VLOOKUP(A11,_xlfn.ANCHORARRAY(core!$A$3),2,FALSE)</f>
        <v>0.70521191139399997</v>
      </c>
      <c r="D11" s="3">
        <f t="shared" si="0"/>
        <v>1.6035902680360001</v>
      </c>
      <c r="E11" s="3" t="str" cm="1">
        <f t="array" ref="E11">_xll.BDP(A11,"GICS_SECTOR_NAME")</f>
        <v>Consumer Discretionary</v>
      </c>
      <c r="F11" s="3" t="str" cm="1">
        <f t="array" ref="F11">_xll.BDP(A11,"GICS_INDUSTRY_NAME")</f>
        <v>Hotels, Restaurants &amp; Leisure</v>
      </c>
      <c r="G11" s="4" cm="1">
        <f t="array" ref="G11">_xll.BDP($A11,"UD_OVERALL_FACTOR_PERCENTILE")</f>
        <v>50.41</v>
      </c>
      <c r="H11" s="5" cm="1">
        <f t="array" ref="H11">_xll.BDP($A11,"UD_OPERATING_QUALITY_FP")</f>
        <v>71.989999999999995</v>
      </c>
      <c r="I11" s="4" cm="1">
        <f t="array" ref="I11">_xll.BDP($A11,"UD_OPERATING_QUALITY_RANK")</f>
        <v>83</v>
      </c>
      <c r="J11" s="4" cm="1">
        <f t="array" ref="J11">_xll.BDP($A11,"UD_GROWTH_PERCENTILE")</f>
        <v>66.88</v>
      </c>
      <c r="K11" s="6" cm="1">
        <f t="array" ref="K11">_xll.BDP($A11,"UD_GROWTH_RANK")</f>
        <v>85</v>
      </c>
      <c r="L11" s="4" cm="1">
        <f t="array" ref="L11">_xll.BDP($A11,"UD_VALUATION_PERCENTILE")</f>
        <v>16.91</v>
      </c>
      <c r="M11" s="4" cm="1">
        <f t="array" ref="M11">_xll.BDP($A11,"UD_VALUATION_RANK")</f>
        <v>7</v>
      </c>
      <c r="N11" s="4" cm="1">
        <f t="array" ref="N11">_xll.BDP($A11,"UD_MOMENTUM_PERCENTILE")</f>
        <v>63.36</v>
      </c>
      <c r="O11" s="4" cm="1">
        <f t="array" ref="O11">_xll.BDP($A11,"UD_MOMENTUM_RANK")</f>
        <v>86</v>
      </c>
      <c r="P11" s="4" cm="1">
        <f t="array" ref="P11">_xll.BDP($A11,"UD_RISK_PERCENTILE")</f>
        <v>73.89</v>
      </c>
    </row>
    <row r="12" spans="1:16" x14ac:dyDescent="0.25">
      <c r="A12" t="str">
        <v>DG FP Equity</v>
      </c>
      <c r="B12" s="3">
        <v>2.2310568928249999</v>
      </c>
      <c r="C12" s="3">
        <f>VLOOKUP(A12,_xlfn.ANCHORARRAY(core!$A$3),2,FALSE)</f>
        <v>0.716926700142</v>
      </c>
      <c r="D12" s="3">
        <f t="shared" si="0"/>
        <v>1.514130192683</v>
      </c>
      <c r="E12" s="3" t="str" cm="1">
        <f t="array" ref="E12">_xll.BDP(A12,"GICS_SECTOR_NAME")</f>
        <v>Industrials</v>
      </c>
      <c r="F12" s="3" t="str" cm="1">
        <f t="array" ref="F12">_xll.BDP(A12,"GICS_INDUSTRY_NAME")</f>
        <v>Construction &amp; Engineering</v>
      </c>
      <c r="G12" s="4" cm="1">
        <f t="array" ref="G12">_xll.BDP($A12,"UD_OVERALL_FACTOR_PERCENTILE")</f>
        <v>53.22</v>
      </c>
      <c r="H12" s="5" cm="1">
        <f t="array" ref="H12">_xll.BDP($A12,"UD_OPERATING_QUALITY_FP")</f>
        <v>43.85</v>
      </c>
      <c r="I12" s="4" cm="1">
        <f t="array" ref="I12">_xll.BDP($A12,"UD_OPERATING_QUALITY_RANK")</f>
        <v>27</v>
      </c>
      <c r="J12" s="4" cm="1">
        <f t="array" ref="J12">_xll.BDP($A12,"UD_GROWTH_PERCENTILE")</f>
        <v>49.33</v>
      </c>
      <c r="K12" s="6" cm="1">
        <f t="array" ref="K12">_xll.BDP($A12,"UD_GROWTH_RANK")</f>
        <v>47</v>
      </c>
      <c r="L12" s="4" cm="1">
        <f t="array" ref="L12">_xll.BDP($A12,"UD_VALUATION_PERCENTILE")</f>
        <v>64.84</v>
      </c>
      <c r="M12" s="4" cm="1">
        <f t="array" ref="M12">_xll.BDP($A12,"UD_VALUATION_RANK")</f>
        <v>83</v>
      </c>
      <c r="N12" s="4" cm="1">
        <f t="array" ref="N12">_xll.BDP($A12,"UD_MOMENTUM_PERCENTILE")</f>
        <v>50.62</v>
      </c>
      <c r="O12" s="4" cm="1">
        <f t="array" ref="O12">_xll.BDP($A12,"UD_MOMENTUM_RANK")</f>
        <v>50</v>
      </c>
      <c r="P12" s="4" cm="1">
        <f t="array" ref="P12">_xll.BDP($A12,"UD_RISK_PERCENTILE")</f>
        <v>64.260000000000005</v>
      </c>
    </row>
    <row r="13" spans="1:16" x14ac:dyDescent="0.25">
      <c r="A13" t="str">
        <v>DGE LN Equity</v>
      </c>
      <c r="B13" s="3">
        <v>2.293264716406</v>
      </c>
      <c r="C13" s="3">
        <f>VLOOKUP(A13,_xlfn.ANCHORARRAY(core!$A$3),2,FALSE)</f>
        <v>0.49994172085100003</v>
      </c>
      <c r="D13" s="3">
        <f t="shared" si="0"/>
        <v>1.7933229955550001</v>
      </c>
      <c r="E13" s="3" t="str" cm="1">
        <f t="array" ref="E13">_xll.BDP(A13,"GICS_SECTOR_NAME")</f>
        <v>Consumer Staples</v>
      </c>
      <c r="F13" s="3" t="str" cm="1">
        <f t="array" ref="F13">_xll.BDP(A13,"GICS_INDUSTRY_NAME")</f>
        <v>Beverages</v>
      </c>
      <c r="G13" s="4" cm="1">
        <f t="array" ref="G13">_xll.BDP($A13,"UD_OVERALL_FACTOR_PERCENTILE")</f>
        <v>52.51</v>
      </c>
      <c r="H13" s="5" cm="1">
        <f t="array" ref="H13">_xll.BDP($A13,"UD_OPERATING_QUALITY_FP")</f>
        <v>69.209999999999994</v>
      </c>
      <c r="I13" s="4" cm="1">
        <f t="array" ref="I13">_xll.BDP($A13,"UD_OPERATING_QUALITY_RANK")</f>
        <v>75</v>
      </c>
      <c r="J13" s="4" cm="1">
        <f t="array" ref="J13">_xll.BDP($A13,"UD_GROWTH_PERCENTILE")</f>
        <v>36.39</v>
      </c>
      <c r="K13" s="6" cm="1">
        <f t="array" ref="K13">_xll.BDP($A13,"UD_GROWTH_RANK")</f>
        <v>20</v>
      </c>
      <c r="L13" s="4" cm="1">
        <f t="array" ref="L13">_xll.BDP($A13,"UD_VALUATION_PERCENTILE")</f>
        <v>35.85</v>
      </c>
      <c r="M13" s="4" cm="1">
        <f t="array" ref="M13">_xll.BDP($A13,"UD_VALUATION_RANK")</f>
        <v>23</v>
      </c>
      <c r="N13" s="4" cm="1">
        <f t="array" ref="N13">_xll.BDP($A13,"UD_MOMENTUM_PERCENTILE")</f>
        <v>52.97</v>
      </c>
      <c r="O13" s="4" cm="1">
        <f t="array" ref="O13">_xll.BDP($A13,"UD_MOMENTUM_RANK")</f>
        <v>63</v>
      </c>
      <c r="P13" s="4" cm="1">
        <f t="array" ref="P13">_xll.BDP($A13,"UD_RISK_PERCENTILE")</f>
        <v>78.36</v>
      </c>
    </row>
    <row r="14" spans="1:16" x14ac:dyDescent="0.25">
      <c r="A14" t="str">
        <v>DNB NO Equity</v>
      </c>
      <c r="B14" s="3">
        <v>2.3004378243949999</v>
      </c>
      <c r="C14" s="3">
        <f>VLOOKUP(A14,_xlfn.ANCHORARRAY(core!$A$3),2,FALSE)</f>
        <v>0.46945603881699999</v>
      </c>
      <c r="D14" s="3">
        <f t="shared" si="0"/>
        <v>1.830981785578</v>
      </c>
      <c r="E14" s="3" t="str" cm="1">
        <f t="array" ref="E14">_xll.BDP(A14,"GICS_SECTOR_NAME")</f>
        <v>Financials</v>
      </c>
      <c r="F14" s="3" t="str" cm="1">
        <f t="array" ref="F14">_xll.BDP(A14,"GICS_INDUSTRY_NAME")</f>
        <v>Banks</v>
      </c>
      <c r="G14" s="4" cm="1">
        <f t="array" ref="G14">_xll.BDP($A14,"UD_OVERALL_FACTOR_PERCENTILE")</f>
        <v>48.97</v>
      </c>
      <c r="H14" s="5" cm="1">
        <f t="array" ref="H14">_xll.BDP($A14,"UD_OPERATING_QUALITY_FP")</f>
        <v>63.73</v>
      </c>
      <c r="I14" s="4" cm="1">
        <f t="array" ref="I14">_xll.BDP($A14,"UD_OPERATING_QUALITY_RANK")</f>
        <v>79</v>
      </c>
      <c r="J14" s="4" cm="1">
        <f t="array" ref="J14">_xll.BDP($A14,"UD_GROWTH_PERCENTILE")</f>
        <v>55.01</v>
      </c>
      <c r="K14" s="6" cm="1">
        <f t="array" ref="K14">_xll.BDP($A14,"UD_GROWTH_RANK")</f>
        <v>62</v>
      </c>
      <c r="L14" s="4" cm="1">
        <f t="array" ref="L14">_xll.BDP($A14,"UD_VALUATION_PERCENTILE")</f>
        <v>50.51</v>
      </c>
      <c r="M14" s="4" cm="1">
        <f t="array" ref="M14">_xll.BDP($A14,"UD_VALUATION_RANK")</f>
        <v>56</v>
      </c>
      <c r="N14" s="4" cm="1">
        <f t="array" ref="N14">_xll.BDP($A14,"UD_MOMENTUM_PERCENTILE")</f>
        <v>32.630000000000003</v>
      </c>
      <c r="O14" s="4" cm="1">
        <f t="array" ref="O14">_xll.BDP($A14,"UD_MOMENTUM_RANK")</f>
        <v>14</v>
      </c>
      <c r="P14" s="4" cm="1">
        <f t="array" ref="P14">_xll.BDP($A14,"UD_RISK_PERCENTILE")</f>
        <v>53.09</v>
      </c>
    </row>
    <row r="15" spans="1:16" x14ac:dyDescent="0.25">
      <c r="A15" t="str">
        <v>DSV DC Equity</v>
      </c>
      <c r="B15" s="3">
        <v>1.932694273951</v>
      </c>
      <c r="C15" s="3">
        <f>VLOOKUP(A15,_xlfn.ANCHORARRAY(core!$A$3),2,FALSE)</f>
        <v>0.41158396582700002</v>
      </c>
      <c r="D15" s="3">
        <f t="shared" si="0"/>
        <v>1.5211103081240001</v>
      </c>
      <c r="E15" s="3" t="str" cm="1">
        <f t="array" ref="E15">_xll.BDP(A15,"GICS_SECTOR_NAME")</f>
        <v>Industrials</v>
      </c>
      <c r="F15" s="3" t="str" cm="1">
        <f t="array" ref="F15">_xll.BDP(A15,"GICS_INDUSTRY_NAME")</f>
        <v>Air Freight &amp; Logistics</v>
      </c>
      <c r="G15" s="4" cm="1">
        <f t="array" ref="G15">_xll.BDP($A15,"UD_OVERALL_FACTOR_PERCENTILE")</f>
        <v>46.95</v>
      </c>
      <c r="H15" s="5" cm="1">
        <f t="array" ref="H15">_xll.BDP($A15,"UD_OPERATING_QUALITY_FP")</f>
        <v>70.260000000000005</v>
      </c>
      <c r="I15" s="4" cm="1">
        <f t="array" ref="I15">_xll.BDP($A15,"UD_OPERATING_QUALITY_RANK")</f>
        <v>73</v>
      </c>
      <c r="J15" s="4" cm="1">
        <f t="array" ref="J15">_xll.BDP($A15,"UD_GROWTH_PERCENTILE")</f>
        <v>56.48</v>
      </c>
      <c r="K15" s="6" cm="1">
        <f t="array" ref="K15">_xll.BDP($A15,"UD_GROWTH_RANK")</f>
        <v>65</v>
      </c>
      <c r="L15" s="4" cm="1">
        <f t="array" ref="L15">_xll.BDP($A15,"UD_VALUATION_PERCENTILE")</f>
        <v>29.37</v>
      </c>
      <c r="M15" s="4" cm="1">
        <f t="array" ref="M15">_xll.BDP($A15,"UD_VALUATION_RANK")</f>
        <v>26</v>
      </c>
      <c r="N15" s="4" cm="1">
        <f t="array" ref="N15">_xll.BDP($A15,"UD_MOMENTUM_PERCENTILE")</f>
        <v>41.74</v>
      </c>
      <c r="O15" s="4" cm="1">
        <f t="array" ref="O15">_xll.BDP($A15,"UD_MOMENTUM_RANK")</f>
        <v>33</v>
      </c>
      <c r="P15" s="4" cm="1">
        <f t="array" ref="P15">_xll.BDP($A15,"UD_RISK_PERCENTILE")</f>
        <v>68.58</v>
      </c>
    </row>
    <row r="16" spans="1:16" x14ac:dyDescent="0.25">
      <c r="A16" t="str">
        <v>DTE GY Equity</v>
      </c>
      <c r="B16" s="3">
        <v>2.6414378271030001</v>
      </c>
      <c r="C16" s="3">
        <f>VLOOKUP(A16,_xlfn.ANCHORARRAY(core!$A$3),2,FALSE)</f>
        <v>0.89767498192799999</v>
      </c>
      <c r="D16" s="3">
        <f t="shared" si="0"/>
        <v>1.743762845175</v>
      </c>
      <c r="E16" s="3" t="str" cm="1">
        <f t="array" ref="E16">_xll.BDP(A16,"GICS_SECTOR_NAME")</f>
        <v>Communication Services</v>
      </c>
      <c r="F16" s="3" t="str" cm="1">
        <f t="array" ref="F16">_xll.BDP(A16,"GICS_INDUSTRY_NAME")</f>
        <v>Diversified Telecommunication</v>
      </c>
      <c r="G16" s="4" cm="1">
        <f t="array" ref="G16">_xll.BDP($A16,"UD_OVERALL_FACTOR_PERCENTILE")</f>
        <v>55.74</v>
      </c>
      <c r="H16" s="5" cm="1">
        <f t="array" ref="H16">_xll.BDP($A16,"UD_OPERATING_QUALITY_FP")</f>
        <v>52.98</v>
      </c>
      <c r="I16" s="4" cm="1">
        <f t="array" ref="I16">_xll.BDP($A16,"UD_OPERATING_QUALITY_RANK")</f>
        <v>48</v>
      </c>
      <c r="J16" s="4" cm="1">
        <f t="array" ref="J16">_xll.BDP($A16,"UD_GROWTH_PERCENTILE")</f>
        <v>42.38</v>
      </c>
      <c r="K16" s="6" cm="1">
        <f t="array" ref="K16">_xll.BDP($A16,"UD_GROWTH_RANK")</f>
        <v>32</v>
      </c>
      <c r="L16" s="4" cm="1">
        <f t="array" ref="L16">_xll.BDP($A16,"UD_VALUATION_PERCENTILE")</f>
        <v>62.94</v>
      </c>
      <c r="M16" s="4" cm="1">
        <f t="array" ref="M16">_xll.BDP($A16,"UD_VALUATION_RANK")</f>
        <v>72</v>
      </c>
      <c r="N16" s="4" cm="1">
        <f t="array" ref="N16">_xll.BDP($A16,"UD_MOMENTUM_PERCENTILE")</f>
        <v>51.07</v>
      </c>
      <c r="O16" s="4" cm="1">
        <f t="array" ref="O16">_xll.BDP($A16,"UD_MOMENTUM_RANK")</f>
        <v>57</v>
      </c>
      <c r="P16" s="4" cm="1">
        <f t="array" ref="P16">_xll.BDP($A16,"UD_RISK_PERCENTILE")</f>
        <v>78.34</v>
      </c>
    </row>
    <row r="17" spans="1:16" x14ac:dyDescent="0.25">
      <c r="A17" t="str">
        <v>EQT SS Equity</v>
      </c>
      <c r="B17" s="3">
        <v>2.0403104582339999</v>
      </c>
      <c r="C17" s="3">
        <f>VLOOKUP(A17,_xlfn.ANCHORARRAY(core!$A$3),2,FALSE)</f>
        <v>2.2092533407000001E-2</v>
      </c>
      <c r="D17" s="3">
        <f t="shared" si="0"/>
        <v>2.0182179248269998</v>
      </c>
      <c r="E17" s="3" t="str" cm="1">
        <f t="array" ref="E17">_xll.BDP(A17,"GICS_SECTOR_NAME")</f>
        <v>Financials</v>
      </c>
      <c r="F17" s="3" t="str" cm="1">
        <f t="array" ref="F17">_xll.BDP(A17,"GICS_INDUSTRY_NAME")</f>
        <v>Capital Markets</v>
      </c>
      <c r="G17" s="4" cm="1">
        <f t="array" ref="G17">_xll.BDP($A17,"UD_OVERALL_FACTOR_PERCENTILE")</f>
        <v>46.64</v>
      </c>
      <c r="H17" s="5" cm="1">
        <f t="array" ref="H17">_xll.BDP($A17,"UD_OPERATING_QUALITY_FP")</f>
        <v>47.82</v>
      </c>
      <c r="I17" s="4" cm="1">
        <f t="array" ref="I17">_xll.BDP($A17,"UD_OPERATING_QUALITY_RANK")</f>
        <v>34</v>
      </c>
      <c r="J17" s="4" cm="1">
        <f t="array" ref="J17">_xll.BDP($A17,"UD_GROWTH_PERCENTILE")</f>
        <v>84.72</v>
      </c>
      <c r="K17" s="6" cm="1">
        <f t="array" ref="K17">_xll.BDP($A17,"UD_GROWTH_RANK")</f>
        <v>99</v>
      </c>
      <c r="L17" s="4" cm="1">
        <f t="array" ref="L17">_xll.BDP($A17,"UD_VALUATION_PERCENTILE")</f>
        <v>24.37</v>
      </c>
      <c r="M17" s="4" cm="1">
        <f t="array" ref="M17">_xll.BDP($A17,"UD_VALUATION_RANK")</f>
        <v>11</v>
      </c>
      <c r="N17" s="4" cm="1">
        <f t="array" ref="N17">_xll.BDP($A17,"UD_MOMENTUM_PERCENTILE")</f>
        <v>68.39</v>
      </c>
      <c r="O17" s="4" cm="1">
        <f t="array" ref="O17">_xll.BDP($A17,"UD_MOMENTUM_RANK")</f>
        <v>82</v>
      </c>
      <c r="P17" s="4" cm="1">
        <f t="array" ref="P17">_xll.BDP($A17,"UD_RISK_PERCENTILE")</f>
        <v>21.57</v>
      </c>
    </row>
    <row r="18" spans="1:16" x14ac:dyDescent="0.25">
      <c r="A18" t="str">
        <v>GSK LN Equity</v>
      </c>
      <c r="B18" s="3">
        <v>2.5719465486959998</v>
      </c>
      <c r="C18" s="3">
        <f>VLOOKUP(A18,_xlfn.ANCHORARRAY(core!$A$3),2,FALSE)</f>
        <v>0.87301989077200004</v>
      </c>
      <c r="D18" s="3">
        <f t="shared" si="0"/>
        <v>1.6989266579239999</v>
      </c>
      <c r="E18" s="3" t="str" cm="1">
        <f t="array" ref="E18">_xll.BDP(A18,"GICS_SECTOR_NAME")</f>
        <v>Health Care</v>
      </c>
      <c r="F18" s="3" t="str" cm="1">
        <f t="array" ref="F18">_xll.BDP(A18,"GICS_INDUSTRY_NAME")</f>
        <v>Pharmaceuticals</v>
      </c>
      <c r="G18" s="4" cm="1">
        <f t="array" ref="G18">_xll.BDP($A18,"UD_OVERALL_FACTOR_PERCENTILE")</f>
        <v>66.42</v>
      </c>
      <c r="H18" s="5" cm="1">
        <f t="array" ref="H18">_xll.BDP($A18,"UD_OPERATING_QUALITY_FP")</f>
        <v>64.27</v>
      </c>
      <c r="I18" s="4" cm="1">
        <f t="array" ref="I18">_xll.BDP($A18,"UD_OPERATING_QUALITY_RANK")</f>
        <v>74</v>
      </c>
      <c r="J18" s="4" cm="1">
        <f t="array" ref="J18">_xll.BDP($A18,"UD_GROWTH_PERCENTILE")</f>
        <v>35.119999999999997</v>
      </c>
      <c r="K18" s="6" cm="1">
        <f t="array" ref="K18">_xll.BDP($A18,"UD_GROWTH_RANK")</f>
        <v>17</v>
      </c>
      <c r="L18" s="4" cm="1">
        <f t="array" ref="L18">_xll.BDP($A18,"UD_VALUATION_PERCENTILE")</f>
        <v>87.5</v>
      </c>
      <c r="M18" s="4" cm="1">
        <f t="array" ref="M18">_xll.BDP($A18,"UD_VALUATION_RANK")</f>
        <v>99</v>
      </c>
      <c r="N18" s="4" cm="1">
        <f t="array" ref="N18">_xll.BDP($A18,"UD_MOMENTUM_PERCENTILE")</f>
        <v>46.85</v>
      </c>
      <c r="O18" s="4" cm="1">
        <f t="array" ref="O18">_xll.BDP($A18,"UD_MOMENTUM_RANK")</f>
        <v>40</v>
      </c>
      <c r="P18" s="4" cm="1">
        <f t="array" ref="P18">_xll.BDP($A18,"UD_RISK_PERCENTILE")</f>
        <v>78.010000000000005</v>
      </c>
    </row>
    <row r="19" spans="1:16" x14ac:dyDescent="0.25">
      <c r="A19" t="str">
        <v>IBE SM Equity</v>
      </c>
      <c r="B19" s="3">
        <v>2.76910112341</v>
      </c>
      <c r="C19" s="3">
        <f>VLOOKUP(A19,_xlfn.ANCHORARRAY(core!$A$3),2,FALSE)</f>
        <v>1.0027581345309999</v>
      </c>
      <c r="D19" s="3">
        <f t="shared" si="0"/>
        <v>1.7663429888790001</v>
      </c>
      <c r="E19" s="3" t="str" cm="1">
        <f t="array" ref="E19">_xll.BDP(A19,"GICS_SECTOR_NAME")</f>
        <v>Utilities</v>
      </c>
      <c r="F19" s="3" t="str" cm="1">
        <f t="array" ref="F19">_xll.BDP(A19,"GICS_INDUSTRY_NAME")</f>
        <v>Electric Utilities</v>
      </c>
      <c r="G19" s="4" cm="1">
        <f t="array" ref="G19">_xll.BDP($A19,"UD_OVERALL_FACTOR_PERCENTILE")</f>
        <v>53.67</v>
      </c>
      <c r="H19" s="5" cm="1">
        <f t="array" ref="H19">_xll.BDP($A19,"UD_OPERATING_QUALITY_FP")</f>
        <v>64.180000000000007</v>
      </c>
      <c r="I19" s="4" cm="1">
        <f t="array" ref="I19">_xll.BDP($A19,"UD_OPERATING_QUALITY_RANK")</f>
        <v>95</v>
      </c>
      <c r="J19" s="4" cm="1">
        <f t="array" ref="J19">_xll.BDP($A19,"UD_GROWTH_PERCENTILE")</f>
        <v>37.4</v>
      </c>
      <c r="K19" s="6" cm="1">
        <f t="array" ref="K19">_xll.BDP($A19,"UD_GROWTH_RANK")</f>
        <v>21</v>
      </c>
      <c r="L19" s="4" cm="1">
        <f t="array" ref="L19">_xll.BDP($A19,"UD_VALUATION_PERCENTILE")</f>
        <v>42.23</v>
      </c>
      <c r="M19" s="4" cm="1">
        <f t="array" ref="M19">_xll.BDP($A19,"UD_VALUATION_RANK")</f>
        <v>16</v>
      </c>
      <c r="N19" s="4" cm="1">
        <f t="array" ref="N19">_xll.BDP($A19,"UD_MOMENTUM_PERCENTILE")</f>
        <v>54.96</v>
      </c>
      <c r="O19" s="4" cm="1">
        <f t="array" ref="O19">_xll.BDP($A19,"UD_MOMENTUM_RANK")</f>
        <v>79</v>
      </c>
      <c r="P19" s="4" cm="1">
        <f t="array" ref="P19">_xll.BDP($A19,"UD_RISK_PERCENTILE")</f>
        <v>85.71</v>
      </c>
    </row>
    <row r="20" spans="1:16" x14ac:dyDescent="0.25">
      <c r="A20" t="str">
        <v>IMCD NA Equity</v>
      </c>
      <c r="B20" s="3">
        <v>1.6214824380249999</v>
      </c>
      <c r="C20" s="3">
        <f>VLOOKUP(A20,_xlfn.ANCHORARRAY(core!$A$3),2,FALSE)</f>
        <v>6.9123253524000006E-2</v>
      </c>
      <c r="D20" s="3">
        <f t="shared" si="0"/>
        <v>1.5523591845009999</v>
      </c>
      <c r="E20" s="3" t="str" cm="1">
        <f t="array" ref="E20">_xll.BDP(A20,"GICS_SECTOR_NAME")</f>
        <v>Industrials</v>
      </c>
      <c r="F20" s="3" t="str" cm="1">
        <f t="array" ref="F20">_xll.BDP(A20,"GICS_INDUSTRY_NAME")</f>
        <v>Trading Companies &amp; Distributo</v>
      </c>
      <c r="G20" s="4" cm="1">
        <f t="array" ref="G20">_xll.BDP($A20,"UD_OVERALL_FACTOR_PERCENTILE")</f>
        <v>55.51</v>
      </c>
      <c r="H20" s="5" cm="1">
        <f t="array" ref="H20">_xll.BDP($A20,"UD_OPERATING_QUALITY_FP")</f>
        <v>83.76</v>
      </c>
      <c r="I20" s="4" cm="1">
        <f t="array" ref="I20">_xll.BDP($A20,"UD_OPERATING_QUALITY_RANK")</f>
        <v>95</v>
      </c>
      <c r="J20" s="4" cm="1">
        <f t="array" ref="J20">_xll.BDP($A20,"UD_GROWTH_PERCENTILE")</f>
        <v>62.89</v>
      </c>
      <c r="K20" s="6" cm="1">
        <f t="array" ref="K20">_xll.BDP($A20,"UD_GROWTH_RANK")</f>
        <v>79</v>
      </c>
      <c r="L20" s="4" cm="1">
        <f t="array" ref="L20">_xll.BDP($A20,"UD_VALUATION_PERCENTILE")</f>
        <v>61.89</v>
      </c>
      <c r="M20" s="4" cm="1">
        <f t="array" ref="M20">_xll.BDP($A20,"UD_VALUATION_RANK")</f>
        <v>78</v>
      </c>
      <c r="N20" s="4" cm="1">
        <f t="array" ref="N20">_xll.BDP($A20,"UD_MOMENTUM_PERCENTILE")</f>
        <v>20.69</v>
      </c>
      <c r="O20" s="4" cm="1">
        <f t="array" ref="O20">_xll.BDP($A20,"UD_MOMENTUM_RANK")</f>
        <v>6</v>
      </c>
      <c r="P20" s="4" cm="1">
        <f t="array" ref="P20">_xll.BDP($A20,"UD_RISK_PERCENTILE")</f>
        <v>35.54</v>
      </c>
    </row>
    <row r="21" spans="1:16" x14ac:dyDescent="0.25">
      <c r="A21" t="str">
        <v>INGA NA Equity</v>
      </c>
      <c r="B21" s="3">
        <v>3.693143970165</v>
      </c>
      <c r="C21" s="3">
        <f>VLOOKUP(A21,_xlfn.ANCHORARRAY(core!$A$3),2,FALSE)</f>
        <v>0.75692116424699996</v>
      </c>
      <c r="D21" s="3">
        <f t="shared" si="0"/>
        <v>2.9362228059179998</v>
      </c>
      <c r="E21" s="3" t="str" cm="1">
        <f t="array" ref="E21">_xll.BDP(A21,"GICS_SECTOR_NAME")</f>
        <v>Financials</v>
      </c>
      <c r="F21" s="3" t="str" cm="1">
        <f t="array" ref="F21">_xll.BDP(A21,"GICS_INDUSTRY_NAME")</f>
        <v>Banks</v>
      </c>
      <c r="G21" s="4" cm="1">
        <f t="array" ref="G21">_xll.BDP($A21,"UD_OVERALL_FACTOR_PERCENTILE")</f>
        <v>50.48</v>
      </c>
      <c r="H21" s="5" cm="1">
        <f t="array" ref="H21">_xll.BDP($A21,"UD_OPERATING_QUALITY_FP")</f>
        <v>48.45</v>
      </c>
      <c r="I21" s="4" cm="1">
        <f t="array" ref="I21">_xll.BDP($A21,"UD_OPERATING_QUALITY_RANK")</f>
        <v>48</v>
      </c>
      <c r="J21" s="4" cm="1">
        <f t="array" ref="J21">_xll.BDP($A21,"UD_GROWTH_PERCENTILE")</f>
        <v>54.03</v>
      </c>
      <c r="K21" s="6" cm="1">
        <f t="array" ref="K21">_xll.BDP($A21,"UD_GROWTH_RANK")</f>
        <v>59</v>
      </c>
      <c r="L21" s="4" cm="1">
        <f t="array" ref="L21">_xll.BDP($A21,"UD_VALUATION_PERCENTILE")</f>
        <v>49.82</v>
      </c>
      <c r="M21" s="4" cm="1">
        <f t="array" ref="M21">_xll.BDP($A21,"UD_VALUATION_RANK")</f>
        <v>52</v>
      </c>
      <c r="N21" s="4" cm="1">
        <f t="array" ref="N21">_xll.BDP($A21,"UD_MOMENTUM_PERCENTILE")</f>
        <v>53.19</v>
      </c>
      <c r="O21" s="4" cm="1">
        <f t="array" ref="O21">_xll.BDP($A21,"UD_MOMENTUM_RANK")</f>
        <v>57</v>
      </c>
      <c r="P21" s="4" cm="1">
        <f t="array" ref="P21">_xll.BDP($A21,"UD_RISK_PERCENTILE")</f>
        <v>50.1</v>
      </c>
    </row>
    <row r="22" spans="1:16" x14ac:dyDescent="0.25">
      <c r="A22" t="str">
        <v>ISP IM Equity</v>
      </c>
      <c r="B22" s="3">
        <v>4.0219529606159998</v>
      </c>
      <c r="C22" s="3">
        <f>VLOOKUP(A22,_xlfn.ANCHORARRAY(core!$A$3),2,FALSE)</f>
        <v>0.76314697752500005</v>
      </c>
      <c r="D22" s="3">
        <f t="shared" si="0"/>
        <v>3.2588059830909999</v>
      </c>
      <c r="E22" s="3" t="str" cm="1">
        <f t="array" ref="E22">_xll.BDP(A22,"GICS_SECTOR_NAME")</f>
        <v>Financials</v>
      </c>
      <c r="F22" s="3" t="str" cm="1">
        <f t="array" ref="F22">_xll.BDP(A22,"GICS_INDUSTRY_NAME")</f>
        <v>Banks</v>
      </c>
      <c r="G22" s="4" cm="1">
        <f t="array" ref="G22">_xll.BDP($A22,"UD_OVERALL_FACTOR_PERCENTILE")</f>
        <v>55.72</v>
      </c>
      <c r="H22" s="5" cm="1">
        <f t="array" ref="H22">_xll.BDP($A22,"UD_OPERATING_QUALITY_FP")</f>
        <v>50.27</v>
      </c>
      <c r="I22" s="4" cm="1">
        <f t="array" ref="I22">_xll.BDP($A22,"UD_OPERATING_QUALITY_RANK")</f>
        <v>51</v>
      </c>
      <c r="J22" s="4" cm="1">
        <f t="array" ref="J22">_xll.BDP($A22,"UD_GROWTH_PERCENTILE")</f>
        <v>66</v>
      </c>
      <c r="K22" s="6" cm="1">
        <f t="array" ref="K22">_xll.BDP($A22,"UD_GROWTH_RANK")</f>
        <v>84</v>
      </c>
      <c r="L22" s="4" cm="1">
        <f t="array" ref="L22">_xll.BDP($A22,"UD_VALUATION_PERCENTILE")</f>
        <v>53.59</v>
      </c>
      <c r="M22" s="4" cm="1">
        <f t="array" ref="M22">_xll.BDP($A22,"UD_VALUATION_RANK")</f>
        <v>64</v>
      </c>
      <c r="N22" s="4" cm="1">
        <f t="array" ref="N22">_xll.BDP($A22,"UD_MOMENTUM_PERCENTILE")</f>
        <v>63.36</v>
      </c>
      <c r="O22" s="4" cm="1">
        <f t="array" ref="O22">_xll.BDP($A22,"UD_MOMENTUM_RANK")</f>
        <v>73</v>
      </c>
      <c r="P22" s="4" cm="1">
        <f t="array" ref="P22">_xll.BDP($A22,"UD_RISK_PERCENTILE")</f>
        <v>45.97</v>
      </c>
    </row>
    <row r="23" spans="1:16" x14ac:dyDescent="0.25">
      <c r="A23" t="str">
        <v>JD/ LN Equity</v>
      </c>
      <c r="B23" s="3">
        <v>2.2242846659420001</v>
      </c>
      <c r="C23" s="3">
        <f>VLOOKUP(A23,_xlfn.ANCHORARRAY(core!$A$3),2,FALSE)</f>
        <v>2.3268718550000001E-2</v>
      </c>
      <c r="D23" s="3">
        <f t="shared" si="0"/>
        <v>2.2010159473920003</v>
      </c>
      <c r="E23" s="3" t="str" cm="1">
        <f t="array" ref="E23">_xll.BDP(A23,"GICS_SECTOR_NAME")</f>
        <v>Consumer Discretionary</v>
      </c>
      <c r="F23" s="3" t="str" cm="1">
        <f t="array" ref="F23">_xll.BDP(A23,"GICS_INDUSTRY_NAME")</f>
        <v>Specialty Retail</v>
      </c>
      <c r="G23" s="4" cm="1">
        <f t="array" ref="G23">_xll.BDP($A23,"UD_OVERALL_FACTOR_PERCENTILE")</f>
        <v>60.68</v>
      </c>
      <c r="H23" s="5" cm="1">
        <f t="array" ref="H23">_xll.BDP($A23,"UD_OPERATING_QUALITY_FP")</f>
        <v>68.77</v>
      </c>
      <c r="I23" s="4" cm="1">
        <f t="array" ref="I23">_xll.BDP($A23,"UD_OPERATING_QUALITY_RANK")</f>
        <v>80</v>
      </c>
      <c r="J23" s="4" cm="1">
        <f t="array" ref="J23">_xll.BDP($A23,"UD_GROWTH_PERCENTILE")</f>
        <v>57.82</v>
      </c>
      <c r="K23" s="6" cm="1">
        <f t="array" ref="K23">_xll.BDP($A23,"UD_GROWTH_RANK")</f>
        <v>68</v>
      </c>
      <c r="L23" s="4" cm="1">
        <f t="array" ref="L23">_xll.BDP($A23,"UD_VALUATION_PERCENTILE")</f>
        <v>66.63</v>
      </c>
      <c r="M23" s="4" cm="1">
        <f t="array" ref="M23">_xll.BDP($A23,"UD_VALUATION_RANK")</f>
        <v>79</v>
      </c>
      <c r="N23" s="4" cm="1">
        <f t="array" ref="N23">_xll.BDP($A23,"UD_MOMENTUM_PERCENTILE")</f>
        <v>46.47</v>
      </c>
      <c r="O23" s="4" cm="1">
        <f t="array" ref="O23">_xll.BDP($A23,"UD_MOMENTUM_RANK")</f>
        <v>48</v>
      </c>
      <c r="P23" s="4" cm="1">
        <f t="array" ref="P23">_xll.BDP($A23,"UD_RISK_PERCENTILE")</f>
        <v>14.87</v>
      </c>
    </row>
    <row r="24" spans="1:16" x14ac:dyDescent="0.25">
      <c r="A24" t="str">
        <v>KBC BB Equity</v>
      </c>
      <c r="B24" s="3">
        <v>2.5212452252449999</v>
      </c>
      <c r="C24" s="3">
        <f>VLOOKUP(A24,_xlfn.ANCHORARRAY(core!$A$3),2,FALSE)</f>
        <v>0.16204998392700001</v>
      </c>
      <c r="D24" s="3">
        <f t="shared" si="0"/>
        <v>2.359195241318</v>
      </c>
      <c r="E24" s="3" t="str" cm="1">
        <f t="array" ref="E24">_xll.BDP(A24,"GICS_SECTOR_NAME")</f>
        <v>Financials</v>
      </c>
      <c r="F24" s="3" t="str" cm="1">
        <f t="array" ref="F24">_xll.BDP(A24,"GICS_INDUSTRY_NAME")</f>
        <v>Banks</v>
      </c>
      <c r="G24" s="4" cm="1">
        <f t="array" ref="G24">_xll.BDP($A24,"UD_OVERALL_FACTOR_PERCENTILE")</f>
        <v>52.62</v>
      </c>
      <c r="H24" s="5" cm="1">
        <f t="array" ref="H24">_xll.BDP($A24,"UD_OPERATING_QUALITY_FP")</f>
        <v>58.65</v>
      </c>
      <c r="I24" s="4" cm="1">
        <f t="array" ref="I24">_xll.BDP($A24,"UD_OPERATING_QUALITY_RANK")</f>
        <v>72</v>
      </c>
      <c r="J24" s="4" cm="1">
        <f t="array" ref="J24">_xll.BDP($A24,"UD_GROWTH_PERCENTILE")</f>
        <v>53.89</v>
      </c>
      <c r="K24" s="6" cm="1">
        <f t="array" ref="K24">_xll.BDP($A24,"UD_GROWTH_RANK")</f>
        <v>59</v>
      </c>
      <c r="L24" s="4" cm="1">
        <f t="array" ref="L24">_xll.BDP($A24,"UD_VALUATION_PERCENTILE")</f>
        <v>36.39</v>
      </c>
      <c r="M24" s="4" cm="1">
        <f t="array" ref="M24">_xll.BDP($A24,"UD_VALUATION_RANK")</f>
        <v>26</v>
      </c>
      <c r="N24" s="4" cm="1">
        <f t="array" ref="N24">_xll.BDP($A24,"UD_MOMENTUM_PERCENTILE")</f>
        <v>63.31</v>
      </c>
      <c r="O24" s="4" cm="1">
        <f t="array" ref="O24">_xll.BDP($A24,"UD_MOMENTUM_RANK")</f>
        <v>72</v>
      </c>
      <c r="P24" s="4" cm="1">
        <f t="array" ref="P24">_xll.BDP($A24,"UD_RISK_PERCENTILE")</f>
        <v>54.51</v>
      </c>
    </row>
    <row r="25" spans="1:16" x14ac:dyDescent="0.25">
      <c r="A25" t="str">
        <v>LSEG LN Equity</v>
      </c>
      <c r="B25" s="3">
        <v>2.0973485086700001</v>
      </c>
      <c r="C25" s="3">
        <f>VLOOKUP(A25,_xlfn.ANCHORARRAY(core!$A$3),2,FALSE)</f>
        <v>0.46262985754699998</v>
      </c>
      <c r="D25" s="3">
        <f t="shared" si="0"/>
        <v>1.6347186511230001</v>
      </c>
      <c r="E25" s="3" t="str" cm="1">
        <f t="array" ref="E25">_xll.BDP(A25,"GICS_SECTOR_NAME")</f>
        <v>Financials</v>
      </c>
      <c r="F25" s="3" t="str" cm="1">
        <f t="array" ref="F25">_xll.BDP(A25,"GICS_INDUSTRY_NAME")</f>
        <v>Capital Markets</v>
      </c>
      <c r="G25" s="4" cm="1">
        <f t="array" ref="G25">_xll.BDP($A25,"UD_OVERALL_FACTOR_PERCENTILE")</f>
        <v>37.909999999999997</v>
      </c>
      <c r="H25" s="5" cm="1">
        <f t="array" ref="H25">_xll.BDP($A25,"UD_OPERATING_QUALITY_FP")</f>
        <v>48.45</v>
      </c>
      <c r="I25" s="4" cm="1">
        <f t="array" ref="I25">_xll.BDP($A25,"UD_OPERATING_QUALITY_RANK")</f>
        <v>40</v>
      </c>
      <c r="J25" s="4" cm="1">
        <f t="array" ref="J25">_xll.BDP($A25,"UD_GROWTH_PERCENTILE")</f>
        <v>68.069999999999993</v>
      </c>
      <c r="K25" s="6" cm="1">
        <f t="array" ref="K25">_xll.BDP($A25,"UD_GROWTH_RANK")</f>
        <v>88</v>
      </c>
      <c r="L25" s="4" cm="1">
        <f t="array" ref="L25">_xll.BDP($A25,"UD_VALUATION_PERCENTILE")</f>
        <v>14.75</v>
      </c>
      <c r="M25" s="4" cm="1">
        <f t="array" ref="M25">_xll.BDP($A25,"UD_VALUATION_RANK")</f>
        <v>3</v>
      </c>
      <c r="N25" s="4" cm="1">
        <f t="array" ref="N25">_xll.BDP($A25,"UD_MOMENTUM_PERCENTILE")</f>
        <v>51.22</v>
      </c>
      <c r="O25" s="4" cm="1">
        <f t="array" ref="O25">_xll.BDP($A25,"UD_MOMENTUM_RANK")</f>
        <v>45</v>
      </c>
      <c r="P25" s="4" cm="1">
        <f t="array" ref="P25">_xll.BDP($A25,"UD_RISK_PERCENTILE")</f>
        <v>72.84</v>
      </c>
    </row>
    <row r="26" spans="1:16" x14ac:dyDescent="0.25">
      <c r="A26" t="str">
        <v>MC FP Equity</v>
      </c>
      <c r="B26" s="3">
        <v>3.18254829854</v>
      </c>
      <c r="C26" s="3">
        <f>VLOOKUP(A26,_xlfn.ANCHORARRAY(core!$A$3),2,FALSE)</f>
        <v>1.4311547750410001</v>
      </c>
      <c r="D26" s="3">
        <f t="shared" si="0"/>
        <v>1.7513935234989999</v>
      </c>
      <c r="E26" s="3" t="str" cm="1">
        <f t="array" ref="E26">_xll.BDP(A26,"GICS_SECTOR_NAME")</f>
        <v>Consumer Discretionary</v>
      </c>
      <c r="F26" s="3" t="str" cm="1">
        <f t="array" ref="F26">_xll.BDP(A26,"GICS_INDUSTRY_NAME")</f>
        <v>Textiles, Apparel &amp; Luxury Goo</v>
      </c>
      <c r="G26" s="4" cm="1">
        <f t="array" ref="G26">_xll.BDP($A26,"UD_OVERALL_FACTOR_PERCENTILE")</f>
        <v>42.97</v>
      </c>
      <c r="H26" s="5" cm="1">
        <f t="array" ref="H26">_xll.BDP($A26,"UD_OPERATING_QUALITY_FP")</f>
        <v>66.52</v>
      </c>
      <c r="I26" s="4" cm="1">
        <f t="array" ref="I26">_xll.BDP($A26,"UD_OPERATING_QUALITY_RANK")</f>
        <v>78</v>
      </c>
      <c r="J26" s="4" cm="1">
        <f t="array" ref="J26">_xll.BDP($A26,"UD_GROWTH_PERCENTILE")</f>
        <v>44.96</v>
      </c>
      <c r="K26" s="6" cm="1">
        <f t="array" ref="K26">_xll.BDP($A26,"UD_GROWTH_RANK")</f>
        <v>38</v>
      </c>
      <c r="L26" s="4" cm="1">
        <f t="array" ref="L26">_xll.BDP($A26,"UD_VALUATION_PERCENTILE")</f>
        <v>38.03</v>
      </c>
      <c r="M26" s="4" cm="1">
        <f t="array" ref="M26">_xll.BDP($A26,"UD_VALUATION_RANK")</f>
        <v>34</v>
      </c>
      <c r="N26" s="4" cm="1">
        <f t="array" ref="N26">_xll.BDP($A26,"UD_MOMENTUM_PERCENTILE")</f>
        <v>24.49</v>
      </c>
      <c r="O26" s="4" cm="1">
        <f t="array" ref="O26">_xll.BDP($A26,"UD_MOMENTUM_RANK")</f>
        <v>9</v>
      </c>
      <c r="P26" s="4" cm="1">
        <f t="array" ref="P26">_xll.BDP($A26,"UD_RISK_PERCENTILE")</f>
        <v>47.91</v>
      </c>
    </row>
    <row r="27" spans="1:16" x14ac:dyDescent="0.25">
      <c r="A27" t="str">
        <v>METSO FH Equity</v>
      </c>
      <c r="B27" s="3">
        <v>2.4171689342449998</v>
      </c>
      <c r="C27" s="3">
        <f>VLOOKUP(A27,_xlfn.ANCHORARRAY(core!$A$3),2,FALSE)</f>
        <v>2.6269764163999999E-2</v>
      </c>
      <c r="D27" s="3">
        <f t="shared" si="0"/>
        <v>2.3908991700809996</v>
      </c>
      <c r="E27" s="3" t="str" cm="1">
        <f t="array" ref="E27">_xll.BDP(A27,"GICS_SECTOR_NAME")</f>
        <v>Industrials</v>
      </c>
      <c r="F27" s="3" t="str" cm="1">
        <f t="array" ref="F27">_xll.BDP(A27,"GICS_INDUSTRY_NAME")</f>
        <v>Machinery</v>
      </c>
      <c r="G27" s="4" cm="1">
        <f t="array" ref="G27">_xll.BDP($A27,"UD_OVERALL_FACTOR_PERCENTILE")</f>
        <v>51.16</v>
      </c>
      <c r="H27" s="5" cm="1">
        <f t="array" ref="H27">_xll.BDP($A27,"UD_OPERATING_QUALITY_FP")</f>
        <v>70.209999999999994</v>
      </c>
      <c r="I27" s="4" cm="1">
        <f t="array" ref="I27">_xll.BDP($A27,"UD_OPERATING_QUALITY_RANK")</f>
        <v>72</v>
      </c>
      <c r="J27" s="4" cm="1">
        <f t="array" ref="J27">_xll.BDP($A27,"UD_GROWTH_PERCENTILE")</f>
        <v>59.76</v>
      </c>
      <c r="K27" s="6" cm="1">
        <f t="array" ref="K27">_xll.BDP($A27,"UD_GROWTH_RANK")</f>
        <v>73</v>
      </c>
      <c r="L27" s="4" cm="1">
        <f t="array" ref="L27">_xll.BDP($A27,"UD_VALUATION_PERCENTILE")</f>
        <v>54.73</v>
      </c>
      <c r="M27" s="4" cm="1">
        <f t="array" ref="M27">_xll.BDP($A27,"UD_VALUATION_RANK")</f>
        <v>64</v>
      </c>
      <c r="N27" s="4" cm="1">
        <f t="array" ref="N27">_xll.BDP($A27,"UD_MOMENTUM_PERCENTILE")</f>
        <v>28.43</v>
      </c>
      <c r="O27" s="4" cm="1">
        <f t="array" ref="O27">_xll.BDP($A27,"UD_MOMENTUM_RANK")</f>
        <v>11</v>
      </c>
      <c r="P27" s="4" cm="1">
        <f t="array" ref="P27">_xll.BDP($A27,"UD_RISK_PERCENTILE")</f>
        <v>46.32</v>
      </c>
    </row>
    <row r="28" spans="1:16" x14ac:dyDescent="0.25">
      <c r="A28" t="str">
        <v>NESN SW Equity</v>
      </c>
      <c r="B28" s="3">
        <v>2.7453918029279998</v>
      </c>
      <c r="C28" s="3">
        <f>VLOOKUP(A28,_xlfn.ANCHORARRAY(core!$A$3),2,FALSE)</f>
        <v>1.790050017312</v>
      </c>
      <c r="D28" s="3">
        <f t="shared" si="0"/>
        <v>0.95534178561599981</v>
      </c>
      <c r="E28" s="3" t="str" cm="1">
        <f t="array" ref="E28">_xll.BDP(A28,"GICS_SECTOR_NAME")</f>
        <v>Consumer Staples</v>
      </c>
      <c r="F28" s="3" t="str" cm="1">
        <f t="array" ref="F28">_xll.BDP(A28,"GICS_INDUSTRY_NAME")</f>
        <v>Food Products</v>
      </c>
      <c r="G28" s="4" cm="1">
        <f t="array" ref="G28">_xll.BDP($A28,"UD_OVERALL_FACTOR_PERCENTILE")</f>
        <v>50.92</v>
      </c>
      <c r="H28" s="5" cm="1">
        <f t="array" ref="H28">_xll.BDP($A28,"UD_OPERATING_QUALITY_FP")</f>
        <v>77.790000000000006</v>
      </c>
      <c r="I28" s="4" cm="1">
        <f t="array" ref="I28">_xll.BDP($A28,"UD_OPERATING_QUALITY_RANK")</f>
        <v>91</v>
      </c>
      <c r="J28" s="4" cm="1">
        <f t="array" ref="J28">_xll.BDP($A28,"UD_GROWTH_PERCENTILE")</f>
        <v>36.26</v>
      </c>
      <c r="K28" s="6" cm="1">
        <f t="array" ref="K28">_xll.BDP($A28,"UD_GROWTH_RANK")</f>
        <v>19</v>
      </c>
      <c r="L28" s="4" cm="1">
        <f t="array" ref="L28">_xll.BDP($A28,"UD_VALUATION_PERCENTILE")</f>
        <v>35.880000000000003</v>
      </c>
      <c r="M28" s="4" cm="1">
        <f t="array" ref="M28">_xll.BDP($A28,"UD_VALUATION_RANK")</f>
        <v>25</v>
      </c>
      <c r="N28" s="4" cm="1">
        <f t="array" ref="N28">_xll.BDP($A28,"UD_MOMENTUM_PERCENTILE")</f>
        <v>39.549999999999997</v>
      </c>
      <c r="O28" s="4" cm="1">
        <f t="array" ref="O28">_xll.BDP($A28,"UD_MOMENTUM_RANK")</f>
        <v>20</v>
      </c>
      <c r="P28" s="4" cm="1">
        <f t="array" ref="P28">_xll.BDP($A28,"UD_RISK_PERCENTILE")</f>
        <v>80.569999999999993</v>
      </c>
    </row>
    <row r="29" spans="1:16" x14ac:dyDescent="0.25">
      <c r="A29" t="str">
        <v>NG/ LN Equity</v>
      </c>
      <c r="B29" s="3">
        <v>2.3116071501439999</v>
      </c>
      <c r="C29" s="3">
        <f>VLOOKUP(A29,_xlfn.ANCHORARRAY(core!$A$3),2,FALSE)</f>
        <v>0.60423265321499997</v>
      </c>
      <c r="D29" s="3">
        <f t="shared" si="0"/>
        <v>1.7073744969289999</v>
      </c>
      <c r="E29" s="3" t="str" cm="1">
        <f t="array" ref="E29">_xll.BDP(A29,"GICS_SECTOR_NAME")</f>
        <v>Utilities</v>
      </c>
      <c r="F29" s="3" t="str" cm="1">
        <f t="array" ref="F29">_xll.BDP(A29,"GICS_INDUSTRY_NAME")</f>
        <v>Multi-Utilities</v>
      </c>
      <c r="G29" s="4" cm="1">
        <f t="array" ref="G29">_xll.BDP($A29,"UD_OVERALL_FACTOR_PERCENTILE")</f>
        <v>56.67</v>
      </c>
      <c r="H29" s="5" cm="1">
        <f t="array" ref="H29">_xll.BDP($A29,"UD_OPERATING_QUALITY_FP")</f>
        <v>63.44</v>
      </c>
      <c r="I29" s="4" cm="1">
        <f t="array" ref="I29">_xll.BDP($A29,"UD_OPERATING_QUALITY_RANK")</f>
        <v>90</v>
      </c>
      <c r="J29" s="4" cm="1">
        <f t="array" ref="J29">_xll.BDP($A29,"UD_GROWTH_PERCENTILE")</f>
        <v>37.979999999999997</v>
      </c>
      <c r="K29" s="6" cm="1">
        <f t="array" ref="K29">_xll.BDP($A29,"UD_GROWTH_RANK")</f>
        <v>23</v>
      </c>
      <c r="L29" s="4" cm="1">
        <f t="array" ref="L29">_xll.BDP($A29,"UD_VALUATION_PERCENTILE")</f>
        <v>56.69</v>
      </c>
      <c r="M29" s="4" cm="1">
        <f t="array" ref="M29">_xll.BDP($A29,"UD_VALUATION_RANK")</f>
        <v>68</v>
      </c>
      <c r="N29" s="4" cm="1">
        <f t="array" ref="N29">_xll.BDP($A29,"UD_MOMENTUM_PERCENTILE")</f>
        <v>49.87</v>
      </c>
      <c r="O29" s="4" cm="1">
        <f t="array" ref="O29">_xll.BDP($A29,"UD_MOMENTUM_RANK")</f>
        <v>32</v>
      </c>
      <c r="P29" s="4" cm="1">
        <f t="array" ref="P29">_xll.BDP($A29,"UD_RISK_PERCENTILE")</f>
        <v>89.7</v>
      </c>
    </row>
    <row r="30" spans="1:16" x14ac:dyDescent="0.25">
      <c r="A30" t="str">
        <v>NN NA Equity</v>
      </c>
      <c r="B30" s="3">
        <v>2.6335160070799999</v>
      </c>
      <c r="C30" s="3">
        <f>VLOOKUP(A30,_xlfn.ANCHORARRAY(core!$A$3),2,FALSE)</f>
        <v>0.27404836264499999</v>
      </c>
      <c r="D30" s="3">
        <f t="shared" si="0"/>
        <v>2.359467644435</v>
      </c>
      <c r="E30" s="3" t="str" cm="1">
        <f t="array" ref="E30">_xll.BDP(A30,"GICS_SECTOR_NAME")</f>
        <v>Financials</v>
      </c>
      <c r="F30" s="3" t="str" cm="1">
        <f t="array" ref="F30">_xll.BDP(A30,"GICS_INDUSTRY_NAME")</f>
        <v>Insurance</v>
      </c>
      <c r="G30" s="4" cm="1">
        <f t="array" ref="G30">_xll.BDP($A30,"UD_OVERALL_FACTOR_PERCENTILE")</f>
        <v>61.51</v>
      </c>
      <c r="H30" s="5" cm="1">
        <f t="array" ref="H30">_xll.BDP($A30,"UD_OPERATING_QUALITY_FP")</f>
        <v>54.58</v>
      </c>
      <c r="I30" s="4" cm="1">
        <f t="array" ref="I30">_xll.BDP($A30,"UD_OPERATING_QUALITY_RANK")</f>
        <v>44</v>
      </c>
      <c r="J30" s="4" cm="1">
        <f t="array" ref="J30">_xll.BDP($A30,"UD_GROWTH_PERCENTILE")</f>
        <v>57.98</v>
      </c>
      <c r="K30" s="6" cm="1">
        <f t="array" ref="K30">_xll.BDP($A30,"UD_GROWTH_RANK")</f>
        <v>69</v>
      </c>
      <c r="L30" s="4" cm="1">
        <f t="array" ref="L30">_xll.BDP($A30,"UD_VALUATION_PERCENTILE")</f>
        <v>71.59</v>
      </c>
      <c r="M30" s="4" cm="1">
        <f t="array" ref="M30">_xll.BDP($A30,"UD_VALUATION_RANK")</f>
        <v>78</v>
      </c>
      <c r="N30" s="4" cm="1">
        <f t="array" ref="N30">_xll.BDP($A30,"UD_MOMENTUM_PERCENTILE")</f>
        <v>58.06</v>
      </c>
      <c r="O30" s="4" cm="1">
        <f t="array" ref="O30">_xll.BDP($A30,"UD_MOMENTUM_RANK")</f>
        <v>65</v>
      </c>
      <c r="P30" s="4" cm="1">
        <f t="array" ref="P30">_xll.BDP($A30,"UD_RISK_PERCENTILE")</f>
        <v>83.92</v>
      </c>
    </row>
    <row r="31" spans="1:16" x14ac:dyDescent="0.25">
      <c r="A31" t="str">
        <v>NOVOB DC Equity</v>
      </c>
      <c r="B31" s="3">
        <v>3.1817821160549999</v>
      </c>
      <c r="C31" s="3">
        <f>VLOOKUP(A31,_xlfn.ANCHORARRAY(core!$A$3),2,FALSE)</f>
        <v>1.486807065329</v>
      </c>
      <c r="D31" s="3">
        <f t="shared" si="0"/>
        <v>1.694975050726</v>
      </c>
      <c r="E31" s="3" t="str" cm="1">
        <f t="array" ref="E31">_xll.BDP(A31,"GICS_SECTOR_NAME")</f>
        <v>Health Care</v>
      </c>
      <c r="F31" s="3" t="str" cm="1">
        <f t="array" ref="F31">_xll.BDP(A31,"GICS_INDUSTRY_NAME")</f>
        <v>Pharmaceuticals</v>
      </c>
      <c r="G31" s="4" cm="1">
        <f t="array" ref="G31">_xll.BDP($A31,"UD_OVERALL_FACTOR_PERCENTILE")</f>
        <v>56.91</v>
      </c>
      <c r="H31" s="5" cm="1">
        <f t="array" ref="H31">_xll.BDP($A31,"UD_OPERATING_QUALITY_FP")</f>
        <v>81.73</v>
      </c>
      <c r="I31" s="4" cm="1">
        <f t="array" ref="I31">_xll.BDP($A31,"UD_OPERATING_QUALITY_RANK")</f>
        <v>99</v>
      </c>
      <c r="J31" s="4" cm="1">
        <f t="array" ref="J31">_xll.BDP($A31,"UD_GROWTH_PERCENTILE")</f>
        <v>52.36</v>
      </c>
      <c r="K31" s="6" cm="1">
        <f t="array" ref="K31">_xll.BDP($A31,"UD_GROWTH_RANK")</f>
        <v>55</v>
      </c>
      <c r="L31" s="4" cm="1">
        <f t="array" ref="L31">_xll.BDP($A31,"UD_VALUATION_PERCENTILE")</f>
        <v>73.599999999999994</v>
      </c>
      <c r="M31" s="4" cm="1">
        <f t="array" ref="M31">_xll.BDP($A31,"UD_VALUATION_RANK")</f>
        <v>91</v>
      </c>
      <c r="N31" s="4" cm="1">
        <f t="array" ref="N31">_xll.BDP($A31,"UD_MOMENTUM_PERCENTILE")</f>
        <v>14.88</v>
      </c>
      <c r="O31" s="4" cm="1">
        <f t="array" ref="O31">_xll.BDP($A31,"UD_MOMENTUM_RANK")</f>
        <v>2</v>
      </c>
      <c r="P31" s="4" cm="1">
        <f t="array" ref="P31">_xll.BDP($A31,"UD_RISK_PERCENTILE")</f>
        <v>28.73</v>
      </c>
    </row>
    <row r="32" spans="1:16" x14ac:dyDescent="0.25">
      <c r="A32" t="str">
        <v>OR FP Equity</v>
      </c>
      <c r="B32" s="3">
        <v>2.8023366303419999</v>
      </c>
      <c r="C32" s="3">
        <f>VLOOKUP(A32,_xlfn.ANCHORARRAY(core!$A$3),2,FALSE)</f>
        <v>0.59372654285000004</v>
      </c>
      <c r="D32" s="3">
        <f t="shared" si="0"/>
        <v>2.2086100874919996</v>
      </c>
      <c r="E32" s="3" t="str" cm="1">
        <f t="array" ref="E32">_xll.BDP(A32,"GICS_SECTOR_NAME")</f>
        <v>Consumer Staples</v>
      </c>
      <c r="F32" s="3" t="str" cm="1">
        <f t="array" ref="F32">_xll.BDP(A32,"GICS_INDUSTRY_NAME")</f>
        <v>Personal Care Products</v>
      </c>
      <c r="G32" s="4" cm="1">
        <f t="array" ref="G32">_xll.BDP($A32,"UD_OVERALL_FACTOR_PERCENTILE")</f>
        <v>46.23</v>
      </c>
      <c r="H32" s="5" cm="1">
        <f t="array" ref="H32">_xll.BDP($A32,"UD_OPERATING_QUALITY_FP")</f>
        <v>76.48</v>
      </c>
      <c r="I32" s="4" cm="1">
        <f t="array" ref="I32">_xll.BDP($A32,"UD_OPERATING_QUALITY_RANK")</f>
        <v>89</v>
      </c>
      <c r="J32" s="4" cm="1">
        <f t="array" ref="J32">_xll.BDP($A32,"UD_GROWTH_PERCENTILE")</f>
        <v>54.58</v>
      </c>
      <c r="K32" s="6" cm="1">
        <f t="array" ref="K32">_xll.BDP($A32,"UD_GROWTH_RANK")</f>
        <v>61</v>
      </c>
      <c r="L32" s="4" cm="1">
        <f t="array" ref="L32">_xll.BDP($A32,"UD_VALUATION_PERCENTILE")</f>
        <v>15.23</v>
      </c>
      <c r="M32" s="4" cm="1">
        <f t="array" ref="M32">_xll.BDP($A32,"UD_VALUATION_RANK")</f>
        <v>5</v>
      </c>
      <c r="N32" s="4" cm="1">
        <f t="array" ref="N32">_xll.BDP($A32,"UD_MOMENTUM_PERCENTILE")</f>
        <v>47.91</v>
      </c>
      <c r="O32" s="4" cm="1">
        <f t="array" ref="O32">_xll.BDP($A32,"UD_MOMENTUM_RANK")</f>
        <v>43</v>
      </c>
      <c r="P32" s="4" cm="1">
        <f t="array" ref="P32">_xll.BDP($A32,"UD_RISK_PERCENTILE")</f>
        <v>74.03</v>
      </c>
    </row>
    <row r="33" spans="1:16" x14ac:dyDescent="0.25">
      <c r="A33" t="str">
        <v>RAND NA Equity</v>
      </c>
      <c r="B33" s="3">
        <v>1.639411046592</v>
      </c>
      <c r="C33" s="3">
        <f>VLOOKUP(A33,_xlfn.ANCHORARRAY(core!$A$3),2,FALSE)</f>
        <v>6.1883644666999998E-2</v>
      </c>
      <c r="D33" s="3">
        <f t="shared" si="0"/>
        <v>1.5775274019250001</v>
      </c>
      <c r="E33" s="3" t="str" cm="1">
        <f t="array" ref="E33">_xll.BDP(A33,"GICS_SECTOR_NAME")</f>
        <v>Industrials</v>
      </c>
      <c r="F33" s="3" t="str" cm="1">
        <f t="array" ref="F33">_xll.BDP(A33,"GICS_INDUSTRY_NAME")</f>
        <v>Professional Services</v>
      </c>
      <c r="G33" s="4" cm="1">
        <f t="array" ref="G33">_xll.BDP($A33,"UD_OVERALL_FACTOR_PERCENTILE")</f>
        <v>44.82</v>
      </c>
      <c r="H33" s="5" cm="1">
        <f t="array" ref="H33">_xll.BDP($A33,"UD_OPERATING_QUALITY_FP")</f>
        <v>54.33</v>
      </c>
      <c r="I33" s="4" cm="1">
        <f t="array" ref="I33">_xll.BDP($A33,"UD_OPERATING_QUALITY_RANK")</f>
        <v>46</v>
      </c>
      <c r="J33" s="4" cm="1">
        <f t="array" ref="J33">_xll.BDP($A33,"UD_GROWTH_PERCENTILE")</f>
        <v>39.85</v>
      </c>
      <c r="K33" s="6" cm="1">
        <f t="array" ref="K33">_xll.BDP($A33,"UD_GROWTH_RANK")</f>
        <v>26</v>
      </c>
      <c r="L33" s="4" cm="1">
        <f t="array" ref="L33">_xll.BDP($A33,"UD_VALUATION_PERCENTILE")</f>
        <v>49.88</v>
      </c>
      <c r="M33" s="4" cm="1">
        <f t="array" ref="M33">_xll.BDP($A33,"UD_VALUATION_RANK")</f>
        <v>54</v>
      </c>
      <c r="N33" s="4" cm="1">
        <f t="array" ref="N33">_xll.BDP($A33,"UD_MOMENTUM_PERCENTILE")</f>
        <v>30.11</v>
      </c>
      <c r="O33" s="4" cm="1">
        <f t="array" ref="O33">_xll.BDP($A33,"UD_MOMENTUM_RANK")</f>
        <v>13</v>
      </c>
      <c r="P33" s="4" cm="1">
        <f t="array" ref="P33">_xll.BDP($A33,"UD_RISK_PERCENTILE")</f>
        <v>59.36</v>
      </c>
    </row>
    <row r="34" spans="1:16" x14ac:dyDescent="0.25">
      <c r="A34" t="str">
        <v>ROG SW Equity</v>
      </c>
      <c r="B34" s="3">
        <v>3.6730109710269998</v>
      </c>
      <c r="C34" s="3">
        <f>VLOOKUP(A34,_xlfn.ANCHORARRAY(core!$A$3),2,FALSE)</f>
        <v>1.9797185295419999</v>
      </c>
      <c r="D34" s="3">
        <f t="shared" si="0"/>
        <v>1.6932924414849999</v>
      </c>
      <c r="E34" s="3" t="str" cm="1">
        <f t="array" ref="E34">_xll.BDP(A34,"GICS_SECTOR_NAME")</f>
        <v>Health Care</v>
      </c>
      <c r="F34" s="3" t="str" cm="1">
        <f t="array" ref="F34">_xll.BDP(A34,"GICS_INDUSTRY_NAME")</f>
        <v>Pharmaceuticals</v>
      </c>
      <c r="G34" s="4" cm="1">
        <f t="array" ref="G34">_xll.BDP($A34,"UD_OVERALL_FACTOR_PERCENTILE")</f>
        <v>61.4</v>
      </c>
      <c r="H34" s="5" cm="1">
        <f t="array" ref="H34">_xll.BDP($A34,"UD_OPERATING_QUALITY_FP")</f>
        <v>63.4</v>
      </c>
      <c r="I34" s="4" cm="1">
        <f t="array" ref="I34">_xll.BDP($A34,"UD_OPERATING_QUALITY_RANK")</f>
        <v>72</v>
      </c>
      <c r="J34" s="4" cm="1">
        <f t="array" ref="J34">_xll.BDP($A34,"UD_GROWTH_PERCENTILE")</f>
        <v>43.4</v>
      </c>
      <c r="K34" s="6" cm="1">
        <f t="array" ref="K34">_xll.BDP($A34,"UD_GROWTH_RANK")</f>
        <v>35</v>
      </c>
      <c r="L34" s="4" cm="1">
        <f t="array" ref="L34">_xll.BDP($A34,"UD_VALUATION_PERCENTILE")</f>
        <v>75.56</v>
      </c>
      <c r="M34" s="4" cm="1">
        <f t="array" ref="M34">_xll.BDP($A34,"UD_VALUATION_RANK")</f>
        <v>92</v>
      </c>
      <c r="N34" s="4" cm="1">
        <f t="array" ref="N34">_xll.BDP($A34,"UD_MOMENTUM_PERCENTILE")</f>
        <v>44.81</v>
      </c>
      <c r="O34" s="4" cm="1">
        <f t="array" ref="O34">_xll.BDP($A34,"UD_MOMENTUM_RANK")</f>
        <v>35</v>
      </c>
      <c r="P34" s="4" cm="1">
        <f t="array" ref="P34">_xll.BDP($A34,"UD_RISK_PERCENTILE")</f>
        <v>81.650000000000006</v>
      </c>
    </row>
    <row r="35" spans="1:16" x14ac:dyDescent="0.25">
      <c r="A35" t="str">
        <v>SAP GY Equity</v>
      </c>
      <c r="B35" s="3">
        <v>3.780092293854</v>
      </c>
      <c r="C35" s="3">
        <f>VLOOKUP(A35,_xlfn.ANCHORARRAY(core!$A$3),2,FALSE)</f>
        <v>2.3245116732360001</v>
      </c>
      <c r="D35" s="3">
        <f t="shared" si="0"/>
        <v>1.455580620618</v>
      </c>
      <c r="E35" s="3" t="str" cm="1">
        <f t="array" ref="E35">_xll.BDP(A35,"GICS_SECTOR_NAME")</f>
        <v>Information Technology</v>
      </c>
      <c r="F35" s="3" t="str" cm="1">
        <f t="array" ref="F35">_xll.BDP(A35,"GICS_INDUSTRY_NAME")</f>
        <v>Software</v>
      </c>
      <c r="G35" s="4" cm="1">
        <f t="array" ref="G35">_xll.BDP($A35,"UD_OVERALL_FACTOR_PERCENTILE")</f>
        <v>41.59</v>
      </c>
      <c r="H35" s="5" cm="1">
        <f t="array" ref="H35">_xll.BDP($A35,"UD_OPERATING_QUALITY_FP")</f>
        <v>49.43</v>
      </c>
      <c r="I35" s="4" cm="1">
        <f t="array" ref="I35">_xll.BDP($A35,"UD_OPERATING_QUALITY_RANK")</f>
        <v>34</v>
      </c>
      <c r="J35" s="4" cm="1">
        <f t="array" ref="J35">_xll.BDP($A35,"UD_GROWTH_PERCENTILE")</f>
        <v>70.69</v>
      </c>
      <c r="K35" s="6" cm="1">
        <f t="array" ref="K35">_xll.BDP($A35,"UD_GROWTH_RANK")</f>
        <v>91</v>
      </c>
      <c r="L35" s="4" cm="1">
        <f t="array" ref="L35">_xll.BDP($A35,"UD_VALUATION_PERCENTILE")</f>
        <v>21.34</v>
      </c>
      <c r="M35" s="4" cm="1">
        <f t="array" ref="M35">_xll.BDP($A35,"UD_VALUATION_RANK")</f>
        <v>9</v>
      </c>
      <c r="N35" s="4" cm="1">
        <f t="array" ref="N35">_xll.BDP($A35,"UD_MOMENTUM_PERCENTILE")</f>
        <v>54.61</v>
      </c>
      <c r="O35" s="4" cm="1">
        <f t="array" ref="O35">_xll.BDP($A35,"UD_MOMENTUM_RANK")</f>
        <v>66</v>
      </c>
      <c r="P35" s="4" cm="1">
        <f t="array" ref="P35">_xll.BDP($A35,"UD_RISK_PERCENTILE")</f>
        <v>51.53</v>
      </c>
    </row>
    <row r="36" spans="1:16" x14ac:dyDescent="0.25">
      <c r="A36" t="str">
        <v>SIKA SW Equity</v>
      </c>
      <c r="B36" s="3">
        <v>1.829537864345</v>
      </c>
      <c r="C36" s="3">
        <f>VLOOKUP(A36,_xlfn.ANCHORARRAY(core!$A$3),2,FALSE)</f>
        <v>0.30893838136899998</v>
      </c>
      <c r="D36" s="3">
        <f t="shared" si="0"/>
        <v>1.5205994829759999</v>
      </c>
      <c r="E36" s="3" t="str" cm="1">
        <f t="array" ref="E36">_xll.BDP(A36,"GICS_SECTOR_NAME")</f>
        <v>Materials</v>
      </c>
      <c r="F36" s="3" t="str" cm="1">
        <f t="array" ref="F36">_xll.BDP(A36,"GICS_INDUSTRY_NAME")</f>
        <v>Chemicals</v>
      </c>
      <c r="G36" s="4" cm="1">
        <f t="array" ref="G36">_xll.BDP($A36,"UD_OVERALL_FACTOR_PERCENTILE")</f>
        <v>47.06</v>
      </c>
      <c r="H36" s="5" cm="1">
        <f t="array" ref="H36">_xll.BDP($A36,"UD_OPERATING_QUALITY_FP")</f>
        <v>91.31</v>
      </c>
      <c r="I36" s="4" cm="1">
        <f t="array" ref="I36">_xll.BDP($A36,"UD_OPERATING_QUALITY_RANK")</f>
        <v>96</v>
      </c>
      <c r="J36" s="4" cm="1">
        <f t="array" ref="J36">_xll.BDP($A36,"UD_GROWTH_PERCENTILE")</f>
        <v>49.98</v>
      </c>
      <c r="K36" s="6" cm="1">
        <f t="array" ref="K36">_xll.BDP($A36,"UD_GROWTH_RANK")</f>
        <v>49</v>
      </c>
      <c r="L36" s="4" cm="1">
        <f t="array" ref="L36">_xll.BDP($A36,"UD_VALUATION_PERCENTILE")</f>
        <v>20.5</v>
      </c>
      <c r="M36" s="4" cm="1">
        <f t="array" ref="M36">_xll.BDP($A36,"UD_VALUATION_RANK")</f>
        <v>8</v>
      </c>
      <c r="N36" s="4" cm="1">
        <f t="array" ref="N36">_xll.BDP($A36,"UD_MOMENTUM_PERCENTILE")</f>
        <v>30.17</v>
      </c>
      <c r="O36" s="4" cm="1">
        <f t="array" ref="O36">_xll.BDP($A36,"UD_MOMENTUM_RANK")</f>
        <v>5</v>
      </c>
      <c r="P36" s="4" cm="1">
        <f t="array" ref="P36">_xll.BDP($A36,"UD_RISK_PERCENTILE")</f>
        <v>52.44</v>
      </c>
    </row>
    <row r="37" spans="1:16" x14ac:dyDescent="0.25">
      <c r="A37" t="str">
        <v>STMN SW Equity</v>
      </c>
      <c r="B37" s="3">
        <v>1.4742542651420001</v>
      </c>
      <c r="C37" s="3">
        <f>VLOOKUP(A37,_xlfn.ANCHORARRAY(core!$A$3),2,FALSE)</f>
        <v>6.7050183417999995E-2</v>
      </c>
      <c r="D37" s="3">
        <f t="shared" si="0"/>
        <v>1.4072040817240001</v>
      </c>
      <c r="E37" s="3" t="str" cm="1">
        <f t="array" ref="E37">_xll.BDP(A37,"GICS_SECTOR_NAME")</f>
        <v>Health Care</v>
      </c>
      <c r="F37" s="3" t="str" cm="1">
        <f t="array" ref="F37">_xll.BDP(A37,"GICS_INDUSTRY_NAME")</f>
        <v>Health Care Equipment &amp; Suppli</v>
      </c>
      <c r="G37" s="4" cm="1">
        <f t="array" ref="G37">_xll.BDP($A37,"UD_OVERALL_FACTOR_PERCENTILE")</f>
        <v>46.21</v>
      </c>
      <c r="H37" s="5" cm="1">
        <f t="array" ref="H37">_xll.BDP($A37,"UD_OPERATING_QUALITY_FP")</f>
        <v>77.569999999999993</v>
      </c>
      <c r="I37" s="4" cm="1">
        <f t="array" ref="I37">_xll.BDP($A37,"UD_OPERATING_QUALITY_RANK")</f>
        <v>93</v>
      </c>
      <c r="J37" s="4" cm="1">
        <f t="array" ref="J37">_xll.BDP($A37,"UD_GROWTH_PERCENTILE")</f>
        <v>59.1</v>
      </c>
      <c r="K37" s="6" cm="1">
        <f t="array" ref="K37">_xll.BDP($A37,"UD_GROWTH_RANK")</f>
        <v>71</v>
      </c>
      <c r="L37" s="4" cm="1">
        <f t="array" ref="L37">_xll.BDP($A37,"UD_VALUATION_PERCENTILE")</f>
        <v>38.57</v>
      </c>
      <c r="M37" s="4" cm="1">
        <f t="array" ref="M37">_xll.BDP($A37,"UD_VALUATION_RANK")</f>
        <v>28</v>
      </c>
      <c r="N37" s="4" cm="1">
        <f t="array" ref="N37">_xll.BDP($A37,"UD_MOMENTUM_PERCENTILE")</f>
        <v>22.73</v>
      </c>
      <c r="O37" s="4" cm="1">
        <f t="array" ref="O37">_xll.BDP($A37,"UD_MOMENTUM_RANK")</f>
        <v>7</v>
      </c>
      <c r="P37" s="4" cm="1">
        <f t="array" ref="P37">_xll.BDP($A37,"UD_RISK_PERCENTILE")</f>
        <v>32.590000000000003</v>
      </c>
    </row>
    <row r="38" spans="1:16" x14ac:dyDescent="0.25">
      <c r="A38" t="str">
        <v>SU FP Equity</v>
      </c>
      <c r="B38" s="3">
        <v>3.262170696044</v>
      </c>
      <c r="C38" s="3">
        <f>VLOOKUP(A38,_xlfn.ANCHORARRAY(core!$A$3),2,FALSE)</f>
        <v>1.4208683713470001</v>
      </c>
      <c r="D38" s="3">
        <f t="shared" si="0"/>
        <v>1.8413023246969999</v>
      </c>
      <c r="E38" s="3" t="str" cm="1">
        <f t="array" ref="E38">_xll.BDP(A38,"GICS_SECTOR_NAME")</f>
        <v>Industrials</v>
      </c>
      <c r="F38" s="3" t="str" cm="1">
        <f t="array" ref="F38">_xll.BDP(A38,"GICS_INDUSTRY_NAME")</f>
        <v>Electrical Equipment</v>
      </c>
      <c r="G38" s="4" cm="1">
        <f t="array" ref="G38">_xll.BDP($A38,"UD_OVERALL_FACTOR_PERCENTILE")</f>
        <v>46.79</v>
      </c>
      <c r="H38" s="5" cm="1">
        <f t="array" ref="H38">_xll.BDP($A38,"UD_OPERATING_QUALITY_FP")</f>
        <v>77.5</v>
      </c>
      <c r="I38" s="4" cm="1">
        <f t="array" ref="I38">_xll.BDP($A38,"UD_OPERATING_QUALITY_RANK")</f>
        <v>84</v>
      </c>
      <c r="J38" s="4" cm="1">
        <f t="array" ref="J38">_xll.BDP($A38,"UD_GROWTH_PERCENTILE")</f>
        <v>60.96</v>
      </c>
      <c r="K38" s="6" cm="1">
        <f t="array" ref="K38">_xll.BDP($A38,"UD_GROWTH_RANK")</f>
        <v>75</v>
      </c>
      <c r="L38" s="4" cm="1">
        <f t="array" ref="L38">_xll.BDP($A38,"UD_VALUATION_PERCENTILE")</f>
        <v>28.49</v>
      </c>
      <c r="M38" s="4" cm="1">
        <f t="array" ref="M38">_xll.BDP($A38,"UD_VALUATION_RANK")</f>
        <v>24</v>
      </c>
      <c r="N38" s="4" cm="1">
        <f t="array" ref="N38">_xll.BDP($A38,"UD_MOMENTUM_PERCENTILE")</f>
        <v>34.950000000000003</v>
      </c>
      <c r="O38" s="4" cm="1">
        <f t="array" ref="O38">_xll.BDP($A38,"UD_MOMENTUM_RANK")</f>
        <v>21</v>
      </c>
      <c r="P38" s="4" cm="1">
        <f t="array" ref="P38">_xll.BDP($A38,"UD_RISK_PERCENTILE")</f>
        <v>54.77</v>
      </c>
    </row>
    <row r="39" spans="1:16" x14ac:dyDescent="0.25">
      <c r="A39" t="str">
        <v>SY1 GY Equity</v>
      </c>
      <c r="B39" s="3">
        <v>1.4451319330579999</v>
      </c>
      <c r="C39" s="3">
        <f>VLOOKUP(A39,_xlfn.ANCHORARRAY(core!$A$3),2,FALSE)</f>
        <v>0.18043277176799999</v>
      </c>
      <c r="D39" s="3">
        <f t="shared" si="0"/>
        <v>1.2646991612899998</v>
      </c>
      <c r="E39" s="3" t="str" cm="1">
        <f t="array" ref="E39">_xll.BDP(A39,"GICS_SECTOR_NAME")</f>
        <v>Materials</v>
      </c>
      <c r="F39" s="3" t="str" cm="1">
        <f t="array" ref="F39">_xll.BDP(A39,"GICS_INDUSTRY_NAME")</f>
        <v>Chemicals</v>
      </c>
      <c r="G39" s="4" cm="1">
        <f t="array" ref="G39">_xll.BDP($A39,"UD_OVERALL_FACTOR_PERCENTILE")</f>
        <v>52.21</v>
      </c>
      <c r="H39" s="5" cm="1">
        <f t="array" ref="H39">_xll.BDP($A39,"UD_OPERATING_QUALITY_FP")</f>
        <v>89.38</v>
      </c>
      <c r="I39" s="4" cm="1">
        <f t="array" ref="I39">_xll.BDP($A39,"UD_OPERATING_QUALITY_RANK")</f>
        <v>95</v>
      </c>
      <c r="J39" s="4" cm="1">
        <f t="array" ref="J39">_xll.BDP($A39,"UD_GROWTH_PERCENTILE")</f>
        <v>57.93</v>
      </c>
      <c r="K39" s="6" cm="1">
        <f t="array" ref="K39">_xll.BDP($A39,"UD_GROWTH_RANK")</f>
        <v>68</v>
      </c>
      <c r="L39" s="4" cm="1">
        <f t="array" ref="L39">_xll.BDP($A39,"UD_VALUATION_PERCENTILE")</f>
        <v>23.38</v>
      </c>
      <c r="M39" s="4" cm="1">
        <f t="array" ref="M39">_xll.BDP($A39,"UD_VALUATION_RANK")</f>
        <v>11</v>
      </c>
      <c r="N39" s="4" cm="1">
        <f t="array" ref="N39">_xll.BDP($A39,"UD_MOMENTUM_PERCENTILE")</f>
        <v>44.76</v>
      </c>
      <c r="O39" s="4" cm="1">
        <f t="array" ref="O39">_xll.BDP($A39,"UD_MOMENTUM_RANK")</f>
        <v>39</v>
      </c>
      <c r="P39" s="4" cm="1">
        <f t="array" ref="P39">_xll.BDP($A39,"UD_RISK_PERCENTILE")</f>
        <v>70.19</v>
      </c>
    </row>
    <row r="40" spans="1:16" x14ac:dyDescent="0.25">
      <c r="A40" t="str">
        <v>UMG NA Equity</v>
      </c>
      <c r="B40" s="3">
        <v>1.9335878130499999</v>
      </c>
      <c r="C40" s="3">
        <f>VLOOKUP(A40,_xlfn.ANCHORARRAY(core!$A$3),2,FALSE)</f>
        <v>0.106002759755</v>
      </c>
      <c r="D40" s="3">
        <f t="shared" si="0"/>
        <v>1.827585053295</v>
      </c>
      <c r="E40" s="3" t="str" cm="1">
        <f t="array" ref="E40">_xll.BDP(A40,"GICS_SECTOR_NAME")</f>
        <v>Communication Services</v>
      </c>
      <c r="F40" s="3" t="str" cm="1">
        <f t="array" ref="F40">_xll.BDP(A40,"GICS_INDUSTRY_NAME")</f>
        <v>Entertainment</v>
      </c>
      <c r="G40" s="4" cm="1">
        <f t="array" ref="G40">_xll.BDP($A40,"UD_OVERALL_FACTOR_PERCENTILE")</f>
        <v>47.72</v>
      </c>
      <c r="H40" s="5" cm="1">
        <f t="array" ref="H40">_xll.BDP($A40,"UD_OPERATING_QUALITY_FP")</f>
        <v>67.45</v>
      </c>
      <c r="I40" s="4" cm="1">
        <f t="array" ref="I40">_xll.BDP($A40,"UD_OPERATING_QUALITY_RANK")</f>
        <v>77</v>
      </c>
      <c r="J40" s="4" cm="1">
        <f t="array" ref="J40">_xll.BDP($A40,"UD_GROWTH_PERCENTILE")</f>
        <v>53.23</v>
      </c>
      <c r="K40" s="6" cm="1">
        <f t="array" ref="K40">_xll.BDP($A40,"UD_GROWTH_RANK")</f>
        <v>58</v>
      </c>
      <c r="L40" s="4" cm="1">
        <f t="array" ref="L40">_xll.BDP($A40,"UD_VALUATION_PERCENTILE")</f>
        <v>30.45</v>
      </c>
      <c r="M40" s="4" cm="1">
        <f t="array" ref="M40">_xll.BDP($A40,"UD_VALUATION_RANK")</f>
        <v>18</v>
      </c>
      <c r="N40" s="4" cm="1">
        <f t="array" ref="N40">_xll.BDP($A40,"UD_MOMENTUM_PERCENTILE")</f>
        <v>45.8</v>
      </c>
      <c r="O40" s="4" cm="1">
        <f t="array" ref="O40">_xll.BDP($A40,"UD_MOMENTUM_RANK")</f>
        <v>38</v>
      </c>
      <c r="P40" s="4" cm="1">
        <f t="array" ref="P40">_xll.BDP($A40,"UD_RISK_PERCENTILE")</f>
        <v>55.75</v>
      </c>
    </row>
    <row r="41" spans="1:16" x14ac:dyDescent="0.25">
      <c r="A41" t="str">
        <v>VACN SW Equity</v>
      </c>
      <c r="B41" s="3">
        <v>1.6216368257810001</v>
      </c>
      <c r="C41" s="3">
        <f>VLOOKUP(A41,_xlfn.ANCHORARRAY(core!$A$3),2,FALSE)</f>
        <v>1.9140566263000001E-2</v>
      </c>
      <c r="D41" s="3">
        <f t="shared" si="0"/>
        <v>1.6024962595180001</v>
      </c>
      <c r="E41" s="3" t="str" cm="1">
        <f t="array" ref="E41">_xll.BDP(A41,"GICS_SECTOR_NAME")</f>
        <v>Industrials</v>
      </c>
      <c r="F41" s="3" t="str" cm="1">
        <f t="array" ref="F41">_xll.BDP(A41,"GICS_INDUSTRY_NAME")</f>
        <v>Machinery</v>
      </c>
      <c r="G41" s="4" cm="1">
        <f t="array" ref="G41">_xll.BDP($A41,"UD_OVERALL_FACTOR_PERCENTILE")</f>
        <v>36.5</v>
      </c>
      <c r="H41" s="5" cm="1">
        <f t="array" ref="H41">_xll.BDP($A41,"UD_OPERATING_QUALITY_FP")</f>
        <v>78.069999999999993</v>
      </c>
      <c r="I41" s="4" cm="1">
        <f t="array" ref="I41">_xll.BDP($A41,"UD_OPERATING_QUALITY_RANK")</f>
        <v>86</v>
      </c>
      <c r="J41" s="4" cm="1">
        <f t="array" ref="J41">_xll.BDP($A41,"UD_GROWTH_PERCENTILE")</f>
        <v>65.260000000000005</v>
      </c>
      <c r="K41" s="6" cm="1">
        <f t="array" ref="K41">_xll.BDP($A41,"UD_GROWTH_RANK")</f>
        <v>82</v>
      </c>
      <c r="L41" s="4" cm="1">
        <f t="array" ref="L41">_xll.BDP($A41,"UD_VALUATION_PERCENTILE")</f>
        <v>17.22</v>
      </c>
      <c r="M41" s="4" cm="1">
        <f t="array" ref="M41">_xll.BDP($A41,"UD_VALUATION_RANK")</f>
        <v>8</v>
      </c>
      <c r="N41" s="4" cm="1">
        <f t="array" ref="N41">_xll.BDP($A41,"UD_MOMENTUM_PERCENTILE")</f>
        <v>14.78</v>
      </c>
      <c r="O41" s="4" cm="1">
        <f t="array" ref="O41">_xll.BDP($A41,"UD_MOMENTUM_RANK")</f>
        <v>3</v>
      </c>
      <c r="P41" s="4" cm="1">
        <f t="array" ref="P41">_xll.BDP($A41,"UD_RISK_PERCENTILE")</f>
        <v>25.31</v>
      </c>
    </row>
  </sheetData>
  <mergeCells count="1">
    <mergeCell ref="A1:B1"/>
  </mergeCells>
  <conditionalFormatting sqref="G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4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41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41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41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41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41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4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41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41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4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B722-5AC7-4C30-AB3C-70EA33040EA5}">
  <dimension ref="A1:N317"/>
  <sheetViews>
    <sheetView topLeftCell="A77" workbookViewId="0">
      <selection activeCell="E13" sqref="E13"/>
    </sheetView>
  </sheetViews>
  <sheetFormatPr defaultRowHeight="15" x14ac:dyDescent="0.25"/>
  <cols>
    <col min="1" max="1" width="22.140625" bestFit="1" customWidth="1"/>
    <col min="3" max="3" width="20.5703125" bestFit="1" customWidth="1"/>
    <col min="4" max="4" width="20.5703125" customWidth="1"/>
  </cols>
  <sheetData>
    <row r="1" spans="1:14" x14ac:dyDescent="0.25">
      <c r="A1" s="10" t="s">
        <v>12</v>
      </c>
      <c r="B1" s="10"/>
      <c r="C1" s="1"/>
      <c r="D1" s="1"/>
      <c r="E1" s="7"/>
      <c r="F1" s="8"/>
      <c r="G1" s="7"/>
      <c r="H1" s="7"/>
      <c r="I1" s="9"/>
      <c r="J1" s="7"/>
      <c r="K1" s="7"/>
      <c r="L1" s="7"/>
      <c r="M1" s="7"/>
      <c r="N1" s="7"/>
    </row>
    <row r="2" spans="1:14" ht="45" x14ac:dyDescent="0.25">
      <c r="A2" t="s">
        <v>13</v>
      </c>
      <c r="B2" s="2"/>
      <c r="C2" s="2" t="s">
        <v>22</v>
      </c>
      <c r="D2" s="2" t="s">
        <v>23</v>
      </c>
      <c r="E2" s="7" t="s">
        <v>2</v>
      </c>
      <c r="F2" s="8" t="s">
        <v>3</v>
      </c>
      <c r="G2" s="7" t="s">
        <v>4</v>
      </c>
      <c r="H2" s="7" t="s">
        <v>5</v>
      </c>
      <c r="I2" s="9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</row>
    <row r="3" spans="1:14" x14ac:dyDescent="0.25">
      <c r="A3" t="str" cm="1">
        <f t="array" ref="A3:B317">_xll.BDS(A2,"Portfolio_mweight","Portfolio_mweight")</f>
        <v>1COV GY Equity</v>
      </c>
      <c r="B3" s="3">
        <v>0.28445067923900003</v>
      </c>
      <c r="C3" s="3" t="str" cm="1">
        <f t="array" ref="C3">_xll.BDP(A3,"GICS_SECTOR_NAME")</f>
        <v>Materials</v>
      </c>
      <c r="D3" s="3" t="str" cm="1">
        <f t="array" ref="D3">_xll.BDP(A3,"GICS_INDUSTRY_NAME")</f>
        <v>Chemicals</v>
      </c>
      <c r="E3" s="4" cm="1">
        <f t="array" ref="E3">_xll.BDP($A3,"UD_OVERALL_FACTOR_PERCENTILE")</f>
        <v>33.61</v>
      </c>
      <c r="F3" s="5" cm="1">
        <f t="array" ref="F3">IFERROR(_xll.BDP($A3,"UD_OPERATING_QUALITY_FP"),50)</f>
        <v>18.71</v>
      </c>
      <c r="G3" s="4" cm="1">
        <f t="array" ref="G3">_xll.BDP($A3,"UD_OPERATING_QUALITY_RANK")</f>
        <v>8</v>
      </c>
      <c r="H3" s="4" cm="1">
        <f t="array" ref="H3">_xll.BDP($A3,"UD_GROWTH_PERCENTILE")</f>
        <v>30.64</v>
      </c>
      <c r="I3" s="6" cm="1">
        <f t="array" ref="I3">_xll.BDP($A3,"UD_GROWTH_RANK")</f>
        <v>9</v>
      </c>
      <c r="J3" s="4" cm="1">
        <f t="array" ref="J3">_xll.BDP($A3,"UD_VALUATION_PERCENTILE")</f>
        <v>35.44</v>
      </c>
      <c r="K3" s="4" cm="1">
        <f t="array" ref="K3">_xll.BDP($A3,"UD_VALUATION_RANK")</f>
        <v>27</v>
      </c>
      <c r="L3" s="4" cm="1">
        <f t="array" ref="L3">_xll.BDP($A3,"UD_MOMENTUM_PERCENTILE")</f>
        <v>46.62</v>
      </c>
      <c r="M3" s="4" cm="1">
        <f t="array" ref="M3">_xll.BDP($A3,"UD_MOMENTUM_RANK")</f>
        <v>42</v>
      </c>
      <c r="N3" s="4" cm="1">
        <f t="array" ref="N3">_xll.BDP($A3,"UD_RISK_PERCENTILE")</f>
        <v>69.540000000000006</v>
      </c>
    </row>
    <row r="4" spans="1:14" x14ac:dyDescent="0.25">
      <c r="A4" t="str">
        <v>ABBN SW Equity</v>
      </c>
      <c r="B4" s="3">
        <v>1.169693763263</v>
      </c>
      <c r="C4" s="3" t="str" cm="1">
        <f t="array" ref="C4">_xll.BDP(A4,"GICS_SECTOR_NAME")</f>
        <v>Industrials</v>
      </c>
      <c r="D4" s="3" t="str" cm="1">
        <f t="array" ref="D4">_xll.BDP(A4,"GICS_INDUSTRY_NAME")</f>
        <v>Electrical Equipment</v>
      </c>
      <c r="E4" s="4" cm="1">
        <f t="array" ref="E4">_xll.BDP($A4,"UD_OVERALL_FACTOR_PERCENTILE")</f>
        <v>48.61</v>
      </c>
      <c r="F4" s="5" cm="1">
        <f t="array" ref="F4">IFERROR(_xll.BDP($A4,"UD_OPERATING_QUALITY_FP"),50)</f>
        <v>68.78</v>
      </c>
      <c r="G4" s="4" cm="1">
        <f t="array" ref="G4">_xll.BDP($A4,"UD_OPERATING_QUALITY_RANK")</f>
        <v>71</v>
      </c>
      <c r="H4" s="4" cm="1">
        <f t="array" ref="H4">_xll.BDP($A4,"UD_GROWTH_PERCENTILE")</f>
        <v>58.51</v>
      </c>
      <c r="I4" s="6" cm="1">
        <f t="array" ref="I4">_xll.BDP($A4,"UD_GROWTH_RANK")</f>
        <v>70</v>
      </c>
      <c r="J4" s="4" cm="1">
        <f t="array" ref="J4">_xll.BDP($A4,"UD_VALUATION_PERCENTILE")</f>
        <v>13.28</v>
      </c>
      <c r="K4" s="4" cm="1">
        <f t="array" ref="K4">_xll.BDP($A4,"UD_VALUATION_RANK")</f>
        <v>5</v>
      </c>
      <c r="L4" s="4" cm="1">
        <f t="array" ref="L4">_xll.BDP($A4,"UD_MOMENTUM_PERCENTILE")</f>
        <v>64.849999999999994</v>
      </c>
      <c r="M4" s="4" cm="1">
        <f t="array" ref="M4">_xll.BDP($A4,"UD_MOMENTUM_RANK")</f>
        <v>78</v>
      </c>
      <c r="N4" s="4" cm="1">
        <f t="array" ref="N4">_xll.BDP($A4,"UD_RISK_PERCENTILE")</f>
        <v>61.06</v>
      </c>
    </row>
    <row r="5" spans="1:14" x14ac:dyDescent="0.25">
      <c r="A5" t="str">
        <v>ABF LN Equity</v>
      </c>
      <c r="B5" s="3">
        <v>0.16185751343499999</v>
      </c>
      <c r="C5" s="3" t="str" cm="1">
        <f t="array" ref="C5">_xll.BDP(A5,"GICS_SECTOR_NAME")</f>
        <v>Consumer Staples</v>
      </c>
      <c r="D5" s="3" t="str" cm="1">
        <f t="array" ref="D5">_xll.BDP(A5,"GICS_INDUSTRY_NAME")</f>
        <v>Food Products</v>
      </c>
      <c r="E5" s="4" cm="1">
        <f t="array" ref="E5">_xll.BDP($A5,"UD_OVERALL_FACTOR_PERCENTILE")</f>
        <v>55.49</v>
      </c>
      <c r="F5" s="5" cm="1">
        <f t="array" ref="F5">IFERROR(_xll.BDP($A5,"UD_OPERATING_QUALITY_FP"),50)</f>
        <v>43.7</v>
      </c>
      <c r="G5" s="4" cm="1">
        <f t="array" ref="G5">_xll.BDP($A5,"UD_OPERATING_QUALITY_RANK")</f>
        <v>19</v>
      </c>
      <c r="H5" s="4" cm="1">
        <f t="array" ref="H5">_xll.BDP($A5,"UD_GROWTH_PERCENTILE")</f>
        <v>43.54</v>
      </c>
      <c r="I5" s="6" cm="1">
        <f t="array" ref="I5">_xll.BDP($A5,"UD_GROWTH_RANK")</f>
        <v>35</v>
      </c>
      <c r="J5" s="4" cm="1">
        <f t="array" ref="J5">_xll.BDP($A5,"UD_VALUATION_PERCENTILE")</f>
        <v>76.42</v>
      </c>
      <c r="K5" s="4" cm="1">
        <f t="array" ref="K5">_xll.BDP($A5,"UD_VALUATION_RANK")</f>
        <v>99</v>
      </c>
      <c r="L5" s="4" cm="1">
        <f t="array" ref="L5">_xll.BDP($A5,"UD_MOMENTUM_PERCENTILE")</f>
        <v>45.72</v>
      </c>
      <c r="M5" s="4" cm="1">
        <f t="array" ref="M5">_xll.BDP($A5,"UD_MOMENTUM_RANK")</f>
        <v>35</v>
      </c>
      <c r="N5" s="4" cm="1">
        <f t="array" ref="N5">_xll.BDP($A5,"UD_RISK_PERCENTILE")</f>
        <v>53.9</v>
      </c>
    </row>
    <row r="6" spans="1:14" x14ac:dyDescent="0.25">
      <c r="A6" t="str">
        <v>ABI BB Equity</v>
      </c>
      <c r="B6" s="3">
        <v>0.367694238344</v>
      </c>
      <c r="C6" s="3" t="str" cm="1">
        <f t="array" ref="C6">_xll.BDP(A6,"GICS_SECTOR_NAME")</f>
        <v>Consumer Staples</v>
      </c>
      <c r="D6" s="3" t="str" cm="1">
        <f t="array" ref="D6">_xll.BDP(A6,"GICS_INDUSTRY_NAME")</f>
        <v>Beverages</v>
      </c>
      <c r="E6" s="4" cm="1">
        <f t="array" ref="E6">_xll.BDP($A6,"UD_OVERALL_FACTOR_PERCENTILE")</f>
        <v>53.2</v>
      </c>
      <c r="F6" s="5" cm="1">
        <f t="array" ref="F6">IFERROR(_xll.BDP($A6,"UD_OPERATING_QUALITY_FP"),50)</f>
        <v>82.18</v>
      </c>
      <c r="G6" s="4" cm="1">
        <f t="array" ref="G6">_xll.BDP($A6,"UD_OPERATING_QUALITY_RANK")</f>
        <v>97</v>
      </c>
      <c r="H6" s="4" cm="1">
        <f t="array" ref="H6">_xll.BDP($A6,"UD_GROWTH_PERCENTILE")</f>
        <v>32.159999999999997</v>
      </c>
      <c r="I6" s="6" cm="1">
        <f t="array" ref="I6">_xll.BDP($A6,"UD_GROWTH_RANK")</f>
        <v>12</v>
      </c>
      <c r="J6" s="4" cm="1">
        <f t="array" ref="J6">_xll.BDP($A6,"UD_VALUATION_PERCENTILE")</f>
        <v>27.46</v>
      </c>
      <c r="K6" s="4" cm="1">
        <f t="array" ref="K6">_xll.BDP($A6,"UD_VALUATION_RANK")</f>
        <v>12</v>
      </c>
      <c r="L6" s="4" cm="1">
        <f t="array" ref="L6">_xll.BDP($A6,"UD_MOMENTUM_PERCENTILE")</f>
        <v>50.76</v>
      </c>
      <c r="M6" s="4" cm="1">
        <f t="array" ref="M6">_xll.BDP($A6,"UD_MOMENTUM_RANK")</f>
        <v>55</v>
      </c>
      <c r="N6" s="4" cm="1">
        <f t="array" ref="N6">_xll.BDP($A6,"UD_RISK_PERCENTILE")</f>
        <v>56.41</v>
      </c>
    </row>
    <row r="7" spans="1:14" x14ac:dyDescent="0.25">
      <c r="A7" t="str">
        <v>ABN NA Equity</v>
      </c>
      <c r="B7" s="3">
        <v>0.227893432645</v>
      </c>
      <c r="C7" s="3" t="str" cm="1">
        <f t="array" ref="C7">_xll.BDP(A7,"GICS_SECTOR_NAME")</f>
        <v>Financials</v>
      </c>
      <c r="D7" s="3" t="str" cm="1">
        <f t="array" ref="D7">_xll.BDP(A7,"GICS_INDUSTRY_NAME")</f>
        <v>Banks</v>
      </c>
      <c r="E7" s="4" cm="1">
        <f t="array" ref="E7">_xll.BDP($A7,"UD_OVERALL_FACTOR_PERCENTILE")</f>
        <v>50.35</v>
      </c>
      <c r="F7" s="5" cm="1">
        <f t="array" ref="F7">IFERROR(_xll.BDP($A7,"UD_OPERATING_QUALITY_FP"),50)</f>
        <v>32.94</v>
      </c>
      <c r="G7" s="4" cm="1">
        <f t="array" ref="G7">_xll.BDP($A7,"UD_OPERATING_QUALITY_RANK")</f>
        <v>12</v>
      </c>
      <c r="H7" s="4" cm="1">
        <f t="array" ref="H7">_xll.BDP($A7,"UD_GROWTH_PERCENTILE")</f>
        <v>60.36</v>
      </c>
      <c r="I7" s="6" cm="1">
        <f t="array" ref="I7">_xll.BDP($A7,"UD_GROWTH_RANK")</f>
        <v>74</v>
      </c>
      <c r="J7" s="4" cm="1">
        <f t="array" ref="J7">_xll.BDP($A7,"UD_VALUATION_PERCENTILE")</f>
        <v>52.07</v>
      </c>
      <c r="K7" s="4" cm="1">
        <f t="array" ref="K7">_xll.BDP($A7,"UD_VALUATION_RANK")</f>
        <v>61</v>
      </c>
      <c r="L7" s="4" cm="1">
        <f t="array" ref="L7">_xll.BDP($A7,"UD_MOMENTUM_PERCENTILE")</f>
        <v>66</v>
      </c>
      <c r="M7" s="4" cm="1">
        <f t="array" ref="M7">_xll.BDP($A7,"UD_MOMENTUM_RANK")</f>
        <v>76</v>
      </c>
      <c r="N7" s="4" cm="1">
        <f t="array" ref="N7">_xll.BDP($A7,"UD_RISK_PERCENTILE")</f>
        <v>57.29</v>
      </c>
    </row>
    <row r="8" spans="1:14" x14ac:dyDescent="0.25">
      <c r="A8" t="str">
        <v>AC FP Equity</v>
      </c>
      <c r="B8" s="3">
        <v>7.1377487180000004E-2</v>
      </c>
      <c r="C8" s="3" t="str" cm="1">
        <f t="array" ref="C8">_xll.BDP(A8,"GICS_SECTOR_NAME")</f>
        <v>Consumer Discretionary</v>
      </c>
      <c r="D8" s="3" t="str" cm="1">
        <f t="array" ref="D8">_xll.BDP(A8,"GICS_INDUSTRY_NAME")</f>
        <v>Hotels, Restaurants &amp; Leisure</v>
      </c>
      <c r="E8" s="4" cm="1">
        <f t="array" ref="E8">_xll.BDP($A8,"UD_OVERALL_FACTOR_PERCENTILE")</f>
        <v>43.26</v>
      </c>
      <c r="F8" s="5" cm="1">
        <f t="array" ref="F8">IFERROR(_xll.BDP($A8,"UD_OPERATING_QUALITY_FP"),50)</f>
        <v>53.96</v>
      </c>
      <c r="G8" s="4" cm="1">
        <f t="array" ref="G8">_xll.BDP($A8,"UD_OPERATING_QUALITY_RANK")</f>
        <v>47</v>
      </c>
      <c r="H8" s="4" cm="1">
        <f t="array" ref="H8">_xll.BDP($A8,"UD_GROWTH_PERCENTILE")</f>
        <v>64.569999999999993</v>
      </c>
      <c r="I8" s="6" cm="1">
        <f t="array" ref="I8">_xll.BDP($A8,"UD_GROWTH_RANK")</f>
        <v>81</v>
      </c>
      <c r="J8" s="4" cm="1">
        <f t="array" ref="J8">_xll.BDP($A8,"UD_VALUATION_PERCENTILE")</f>
        <v>36.89</v>
      </c>
      <c r="K8" s="4" cm="1">
        <f t="array" ref="K8">_xll.BDP($A8,"UD_VALUATION_RANK")</f>
        <v>32</v>
      </c>
      <c r="L8" s="4" cm="1">
        <f t="array" ref="L8">_xll.BDP($A8,"UD_MOMENTUM_PERCENTILE")</f>
        <v>39.130000000000003</v>
      </c>
      <c r="M8" s="4" cm="1">
        <f t="array" ref="M8">_xll.BDP($A8,"UD_MOMENTUM_RANK")</f>
        <v>36</v>
      </c>
      <c r="N8" s="4" cm="1">
        <f t="array" ref="N8">_xll.BDP($A8,"UD_RISK_PERCENTILE")</f>
        <v>35.340000000000003</v>
      </c>
    </row>
    <row r="9" spans="1:14" x14ac:dyDescent="0.25">
      <c r="A9" t="str">
        <v>ACA FP Equity</v>
      </c>
      <c r="B9" s="3">
        <v>0.22870285341800001</v>
      </c>
      <c r="C9" s="3" t="str" cm="1">
        <f t="array" ref="C9">_xll.BDP(A9,"GICS_SECTOR_NAME")</f>
        <v>Financials</v>
      </c>
      <c r="D9" s="3" t="str" cm="1">
        <f t="array" ref="D9">_xll.BDP(A9,"GICS_INDUSTRY_NAME")</f>
        <v>Banks</v>
      </c>
      <c r="E9" s="4" cm="1">
        <f t="array" ref="E9">_xll.BDP($A9,"UD_OVERALL_FACTOR_PERCENTILE")</f>
        <v>59.53</v>
      </c>
      <c r="F9" s="5" cm="1">
        <f t="array" ref="F9">IFERROR(_xll.BDP($A9,"UD_OPERATING_QUALITY_FP"),50)</f>
        <v>52.17</v>
      </c>
      <c r="G9" s="4" cm="1">
        <f t="array" ref="G9">_xll.BDP($A9,"UD_OPERATING_QUALITY_RANK")</f>
        <v>57</v>
      </c>
      <c r="H9" s="4" cm="1">
        <f t="array" ref="H9">_xll.BDP($A9,"UD_GROWTH_PERCENTILE")</f>
        <v>62.54</v>
      </c>
      <c r="I9" s="6" cm="1">
        <f t="array" ref="I9">_xll.BDP($A9,"UD_GROWTH_RANK")</f>
        <v>78</v>
      </c>
      <c r="J9" s="4" cm="1">
        <f t="array" ref="J9">_xll.BDP($A9,"UD_VALUATION_PERCENTILE")</f>
        <v>77.8</v>
      </c>
      <c r="K9" s="4" cm="1">
        <f t="array" ref="K9">_xll.BDP($A9,"UD_VALUATION_RANK")</f>
        <v>97</v>
      </c>
      <c r="L9" s="4" cm="1">
        <f t="array" ref="L9">_xll.BDP($A9,"UD_MOMENTUM_PERCENTILE")</f>
        <v>48.06</v>
      </c>
      <c r="M9" s="4" cm="1">
        <f t="array" ref="M9">_xll.BDP($A9,"UD_MOMENTUM_RANK")</f>
        <v>49</v>
      </c>
      <c r="N9" s="4" cm="1">
        <f t="array" ref="N9">_xll.BDP($A9,"UD_RISK_PERCENTILE")</f>
        <v>46.02</v>
      </c>
    </row>
    <row r="10" spans="1:14" x14ac:dyDescent="0.25">
      <c r="A10" t="str">
        <v>ACS SM Equity</v>
      </c>
      <c r="B10" s="3">
        <v>0.31753552105299998</v>
      </c>
      <c r="C10" s="3" t="str" cm="1">
        <f t="array" ref="C10">_xll.BDP(A10,"GICS_SECTOR_NAME")</f>
        <v>Industrials</v>
      </c>
      <c r="D10" s="3" t="str" cm="1">
        <f t="array" ref="D10">_xll.BDP(A10,"GICS_INDUSTRY_NAME")</f>
        <v>Construction &amp; Engineering</v>
      </c>
      <c r="E10" s="4" cm="1">
        <f t="array" ref="E10">_xll.BDP($A10,"UD_OVERALL_FACTOR_PERCENTILE")</f>
        <v>47.11</v>
      </c>
      <c r="F10" s="5" cm="1">
        <f t="array" ref="F10">IFERROR(_xll.BDP($A10,"UD_OPERATING_QUALITY_FP"),50)</f>
        <v>35.85</v>
      </c>
      <c r="G10" s="4" cm="1">
        <f t="array" ref="G10">_xll.BDP($A10,"UD_OPERATING_QUALITY_RANK")</f>
        <v>15</v>
      </c>
      <c r="H10" s="4" cm="1">
        <f t="array" ref="H10">_xll.BDP($A10,"UD_GROWTH_PERCENTILE")</f>
        <v>53.38</v>
      </c>
      <c r="I10" s="6" cm="1">
        <f t="array" ref="I10">_xll.BDP($A10,"UD_GROWTH_RANK")</f>
        <v>58</v>
      </c>
      <c r="J10" s="4" cm="1">
        <f t="array" ref="J10">_xll.BDP($A10,"UD_VALUATION_PERCENTILE")</f>
        <v>44.9</v>
      </c>
      <c r="K10" s="4" cm="1">
        <f t="array" ref="K10">_xll.BDP($A10,"UD_VALUATION_RANK")</f>
        <v>46</v>
      </c>
      <c r="L10" s="4" cm="1">
        <f t="array" ref="L10">_xll.BDP($A10,"UD_MOMENTUM_PERCENTILE")</f>
        <v>60.65</v>
      </c>
      <c r="M10" s="4" cm="1">
        <f t="array" ref="M10">_xll.BDP($A10,"UD_MOMENTUM_RANK")</f>
        <v>73</v>
      </c>
      <c r="N10" s="4" cm="1">
        <f t="array" ref="N10">_xll.BDP($A10,"UD_RISK_PERCENTILE")</f>
        <v>74.98</v>
      </c>
    </row>
    <row r="11" spans="1:14" x14ac:dyDescent="0.25">
      <c r="A11" t="str">
        <v>AD NA Equity</v>
      </c>
      <c r="B11" s="3">
        <v>0.34238755962900003</v>
      </c>
      <c r="C11" s="3" t="str" cm="1">
        <f t="array" ref="C11">_xll.BDP(A11,"GICS_SECTOR_NAME")</f>
        <v>Consumer Staples</v>
      </c>
      <c r="D11" s="3" t="str" cm="1">
        <f t="array" ref="D11">_xll.BDP(A11,"GICS_INDUSTRY_NAME")</f>
        <v>Consumer Staples Distribution</v>
      </c>
      <c r="E11" s="4" cm="1">
        <f t="array" ref="E11">_xll.BDP($A11,"UD_OVERALL_FACTOR_PERCENTILE")</f>
        <v>56.1</v>
      </c>
      <c r="F11" s="5" cm="1">
        <f t="array" ref="F11">IFERROR(_xll.BDP($A11,"UD_OPERATING_QUALITY_FP"),50)</f>
        <v>55.67</v>
      </c>
      <c r="G11" s="4" cm="1">
        <f t="array" ref="G11">_xll.BDP($A11,"UD_OPERATING_QUALITY_RANK")</f>
        <v>57</v>
      </c>
      <c r="H11" s="4" cm="1">
        <f t="array" ref="H11">_xll.BDP($A11,"UD_GROWTH_PERCENTILE")</f>
        <v>37.369999999999997</v>
      </c>
      <c r="I11" s="6" cm="1">
        <f t="array" ref="I11">_xll.BDP($A11,"UD_GROWTH_RANK")</f>
        <v>21</v>
      </c>
      <c r="J11" s="4" cm="1">
        <f t="array" ref="J11">_xll.BDP($A11,"UD_VALUATION_PERCENTILE")</f>
        <v>56.1</v>
      </c>
      <c r="K11" s="4" cm="1">
        <f t="array" ref="K11">_xll.BDP($A11,"UD_VALUATION_RANK")</f>
        <v>65</v>
      </c>
      <c r="L11" s="4" cm="1">
        <f t="array" ref="L11">_xll.BDP($A11,"UD_MOMENTUM_PERCENTILE")</f>
        <v>56.53</v>
      </c>
      <c r="M11" s="4" cm="1">
        <f t="array" ref="M11">_xll.BDP($A11,"UD_MOMENTUM_RANK")</f>
        <v>72</v>
      </c>
      <c r="N11" s="4" cm="1">
        <f t="array" ref="N11">_xll.BDP($A11,"UD_RISK_PERCENTILE")</f>
        <v>93.9</v>
      </c>
    </row>
    <row r="12" spans="1:14" x14ac:dyDescent="0.25">
      <c r="A12" t="str">
        <v>ADEN SW Equity</v>
      </c>
      <c r="B12" s="3">
        <v>6.4549567882000003E-2</v>
      </c>
      <c r="C12" s="3" t="str" cm="1">
        <f t="array" ref="C12">_xll.BDP(A12,"GICS_SECTOR_NAME")</f>
        <v>Industrials</v>
      </c>
      <c r="D12" s="3" t="str" cm="1">
        <f t="array" ref="D12">_xll.BDP(A12,"GICS_INDUSTRY_NAME")</f>
        <v>Professional Services</v>
      </c>
      <c r="E12" s="4" cm="1">
        <f t="array" ref="E12">_xll.BDP($A12,"UD_OVERALL_FACTOR_PERCENTILE")</f>
        <v>51.31</v>
      </c>
      <c r="F12" s="5" cm="1">
        <f t="array" ref="F12">IFERROR(_xll.BDP($A12,"UD_OPERATING_QUALITY_FP"),50)</f>
        <v>60.69</v>
      </c>
      <c r="G12" s="4" cm="1">
        <f t="array" ref="G12">_xll.BDP($A12,"UD_OPERATING_QUALITY_RANK")</f>
        <v>58</v>
      </c>
      <c r="H12" s="4" cm="1">
        <f t="array" ref="H12">_xll.BDP($A12,"UD_GROWTH_PERCENTILE")</f>
        <v>38.590000000000003</v>
      </c>
      <c r="I12" s="6" cm="1">
        <f t="array" ref="I12">_xll.BDP($A12,"UD_GROWTH_RANK")</f>
        <v>24</v>
      </c>
      <c r="J12" s="4" cm="1">
        <f t="array" ref="J12">_xll.BDP($A12,"UD_VALUATION_PERCENTILE")</f>
        <v>54.59</v>
      </c>
      <c r="K12" s="4" cm="1">
        <f t="array" ref="K12">_xll.BDP($A12,"UD_VALUATION_RANK")</f>
        <v>62</v>
      </c>
      <c r="L12" s="4" cm="1">
        <f t="array" ref="L12">_xll.BDP($A12,"UD_MOMENTUM_PERCENTILE")</f>
        <v>38.56</v>
      </c>
      <c r="M12" s="4" cm="1">
        <f t="array" ref="M12">_xll.BDP($A12,"UD_MOMENTUM_RANK")</f>
        <v>27</v>
      </c>
      <c r="N12" s="4" cm="1">
        <f t="array" ref="N12">_xll.BDP($A12,"UD_RISK_PERCENTILE")</f>
        <v>35.04</v>
      </c>
    </row>
    <row r="13" spans="1:14" x14ac:dyDescent="0.25">
      <c r="A13" t="str">
        <v>ADM LN Equity</v>
      </c>
      <c r="B13" s="3">
        <v>5.7683412279E-2</v>
      </c>
      <c r="C13" s="3" t="str" cm="1">
        <f t="array" ref="C13">_xll.BDP(A13,"GICS_SECTOR_NAME")</f>
        <v>Financials</v>
      </c>
      <c r="D13" s="3" t="str" cm="1">
        <f t="array" ref="D13">_xll.BDP(A13,"GICS_INDUSTRY_NAME")</f>
        <v>Insurance</v>
      </c>
      <c r="E13" s="4" cm="1">
        <f t="array" ref="E13">_xll.BDP($A13,"UD_OVERALL_FACTOR_PERCENTILE")</f>
        <v>54.18</v>
      </c>
      <c r="F13" s="5" cm="1">
        <f t="array" ref="F13">IFERROR(_xll.BDP($A13,"UD_OPERATING_QUALITY_FP"),50)</f>
        <v>78.209999999999994</v>
      </c>
      <c r="G13" s="4" cm="1">
        <f t="array" ref="G13">_xll.BDP($A13,"UD_OPERATING_QUALITY_RANK")</f>
        <v>89</v>
      </c>
      <c r="H13" s="4" cm="1">
        <f t="array" ref="H13">_xll.BDP($A13,"UD_GROWTH_PERCENTILE")</f>
        <v>74.56</v>
      </c>
      <c r="I13" s="6" cm="1">
        <f t="array" ref="I13">_xll.BDP($A13,"UD_GROWTH_RANK")</f>
        <v>94</v>
      </c>
      <c r="J13" s="4" cm="1">
        <f t="array" ref="J13">_xll.BDP($A13,"UD_VALUATION_PERCENTILE")</f>
        <v>19.12</v>
      </c>
      <c r="K13" s="4" cm="1">
        <f t="array" ref="K13">_xll.BDP($A13,"UD_VALUATION_RANK")</f>
        <v>13</v>
      </c>
      <c r="L13" s="4" cm="1">
        <f t="array" ref="L13">_xll.BDP($A13,"UD_MOMENTUM_PERCENTILE")</f>
        <v>66.28</v>
      </c>
      <c r="M13" s="4" cm="1">
        <f t="array" ref="M13">_xll.BDP($A13,"UD_MOMENTUM_RANK")</f>
        <v>80</v>
      </c>
      <c r="N13" s="4" cm="1">
        <f t="array" ref="N13">_xll.BDP($A13,"UD_RISK_PERCENTILE")</f>
        <v>84.97</v>
      </c>
    </row>
    <row r="14" spans="1:14" x14ac:dyDescent="0.25">
      <c r="A14" t="str">
        <v>ADP FP Equity</v>
      </c>
      <c r="B14" s="3">
        <v>0.16562259903500001</v>
      </c>
      <c r="C14" s="3" t="str" cm="1">
        <f t="array" ref="C14">_xll.BDP(A14,"GICS_SECTOR_NAME")</f>
        <v>Industrials</v>
      </c>
      <c r="D14" s="3" t="str" cm="1">
        <f t="array" ref="D14">_xll.BDP(A14,"GICS_INDUSTRY_NAME")</f>
        <v>Transportation Infrastructure</v>
      </c>
      <c r="E14" s="4" cm="1">
        <f t="array" ref="E14">_xll.BDP($A14,"UD_OVERALL_FACTOR_PERCENTILE")</f>
        <v>40.6</v>
      </c>
      <c r="F14" s="5" cm="1">
        <f t="array" ref="F14">IFERROR(_xll.BDP($A14,"UD_OPERATING_QUALITY_FP"),50)</f>
        <v>24.5</v>
      </c>
      <c r="G14" s="4" cm="1">
        <f t="array" ref="G14">_xll.BDP($A14,"UD_OPERATING_QUALITY_RANK")</f>
        <v>4</v>
      </c>
      <c r="H14" s="4" cm="1">
        <f t="array" ref="H14">_xll.BDP($A14,"UD_GROWTH_PERCENTILE")</f>
        <v>42.62</v>
      </c>
      <c r="I14" s="6" cm="1">
        <f t="array" ref="I14">_xll.BDP($A14,"UD_GROWTH_RANK")</f>
        <v>33</v>
      </c>
      <c r="J14" s="4" cm="1">
        <f t="array" ref="J14">_xll.BDP($A14,"UD_VALUATION_PERCENTILE")</f>
        <v>55.72</v>
      </c>
      <c r="K14" s="4" cm="1">
        <f t="array" ref="K14">_xll.BDP($A14,"UD_VALUATION_RANK")</f>
        <v>67</v>
      </c>
      <c r="L14" s="4" cm="1">
        <f t="array" ref="L14">_xll.BDP($A14,"UD_MOMENTUM_PERCENTILE")</f>
        <v>41.13</v>
      </c>
      <c r="M14" s="4" cm="1">
        <f t="array" ref="M14">_xll.BDP($A14,"UD_MOMENTUM_RANK")</f>
        <v>30</v>
      </c>
      <c r="N14" s="4" cm="1">
        <f t="array" ref="N14">_xll.BDP($A14,"UD_RISK_PERCENTILE")</f>
        <v>54.26</v>
      </c>
    </row>
    <row r="15" spans="1:14" x14ac:dyDescent="0.25">
      <c r="A15" t="str">
        <v>ADS GY Equity</v>
      </c>
      <c r="B15" s="3">
        <v>0.315965059948</v>
      </c>
      <c r="C15" s="3" t="str" cm="1">
        <f t="array" ref="C15">_xll.BDP(A15,"GICS_SECTOR_NAME")</f>
        <v>Consumer Discretionary</v>
      </c>
      <c r="D15" s="3" t="str" cm="1">
        <f t="array" ref="D15">_xll.BDP(A15,"GICS_INDUSTRY_NAME")</f>
        <v>Textiles, Apparel &amp; Luxury Goo</v>
      </c>
      <c r="E15" s="4" cm="1">
        <f t="array" ref="E15">_xll.BDP($A15,"UD_OVERALL_FACTOR_PERCENTILE")</f>
        <v>42.39</v>
      </c>
      <c r="F15" s="5" cm="1">
        <f t="array" ref="F15">IFERROR(_xll.BDP($A15,"UD_OPERATING_QUALITY_FP"),50)</f>
        <v>46.2</v>
      </c>
      <c r="G15" s="4" cm="1">
        <f t="array" ref="G15">_xll.BDP($A15,"UD_OPERATING_QUALITY_RANK")</f>
        <v>30</v>
      </c>
      <c r="H15" s="4" cm="1">
        <f t="array" ref="H15">_xll.BDP($A15,"UD_GROWTH_PERCENTILE")</f>
        <v>59.22</v>
      </c>
      <c r="I15" s="6" cm="1">
        <f t="array" ref="I15">_xll.BDP($A15,"UD_GROWTH_RANK")</f>
        <v>72</v>
      </c>
      <c r="J15" s="4" cm="1">
        <f t="array" ref="J15">_xll.BDP($A15,"UD_VALUATION_PERCENTILE")</f>
        <v>31.76</v>
      </c>
      <c r="K15" s="4" cm="1">
        <f t="array" ref="K15">_xll.BDP($A15,"UD_VALUATION_RANK")</f>
        <v>23</v>
      </c>
      <c r="L15" s="4" cm="1">
        <f t="array" ref="L15">_xll.BDP($A15,"UD_MOMENTUM_PERCENTILE")</f>
        <v>49.53</v>
      </c>
      <c r="M15" s="4" cm="1">
        <f t="array" ref="M15">_xll.BDP($A15,"UD_MOMENTUM_RANK")</f>
        <v>54</v>
      </c>
      <c r="N15" s="4" cm="1">
        <f t="array" ref="N15">_xll.BDP($A15,"UD_RISK_PERCENTILE")</f>
        <v>41.8</v>
      </c>
    </row>
    <row r="16" spans="1:14" x14ac:dyDescent="0.25">
      <c r="A16" t="str">
        <v>ADYEN NA Equity</v>
      </c>
      <c r="B16" s="3">
        <v>0.14865097920600001</v>
      </c>
      <c r="C16" s="3" t="str" cm="1">
        <f t="array" ref="C16">_xll.BDP(A16,"GICS_SECTOR_NAME")</f>
        <v>Financials</v>
      </c>
      <c r="D16" s="3" t="str" cm="1">
        <f t="array" ref="D16">_xll.BDP(A16,"GICS_INDUSTRY_NAME")</f>
        <v>Financial Services</v>
      </c>
      <c r="E16" s="4" cm="1">
        <f t="array" ref="E16">_xll.BDP($A16,"UD_OVERALL_FACTOR_PERCENTILE")</f>
        <v>36.74</v>
      </c>
      <c r="F16" s="5" cm="1">
        <f t="array" ref="F16">IFERROR(_xll.BDP($A16,"UD_OPERATING_QUALITY_FP"),50)</f>
        <v>60.03</v>
      </c>
      <c r="G16" s="4" cm="1">
        <f t="array" ref="G16">_xll.BDP($A16,"UD_OPERATING_QUALITY_RANK")</f>
        <v>63</v>
      </c>
      <c r="H16" s="4" cm="1">
        <f t="array" ref="H16">_xll.BDP($A16,"UD_GROWTH_PERCENTILE")</f>
        <v>75.239999999999995</v>
      </c>
      <c r="I16" s="6" cm="1">
        <f t="array" ref="I16">_xll.BDP($A16,"UD_GROWTH_RANK")</f>
        <v>95</v>
      </c>
      <c r="J16" s="4" cm="1">
        <f t="array" ref="J16">_xll.BDP($A16,"UD_VALUATION_PERCENTILE")</f>
        <v>15.85</v>
      </c>
      <c r="K16" s="4" cm="1">
        <f t="array" ref="K16">_xll.BDP($A16,"UD_VALUATION_RANK")</f>
        <v>5</v>
      </c>
      <c r="L16" s="4" cm="1">
        <f t="array" ref="L16">_xll.BDP($A16,"UD_MOMENTUM_PERCENTILE")</f>
        <v>34.979999999999997</v>
      </c>
      <c r="M16" s="4" cm="1">
        <f t="array" ref="M16">_xll.BDP($A16,"UD_MOMENTUM_RANK")</f>
        <v>21</v>
      </c>
      <c r="N16" s="4" cm="1">
        <f t="array" ref="N16">_xll.BDP($A16,"UD_RISK_PERCENTILE")</f>
        <v>14.49</v>
      </c>
    </row>
    <row r="17" spans="1:14" x14ac:dyDescent="0.25">
      <c r="A17" t="str">
        <v>AENA SM Equity</v>
      </c>
      <c r="B17" s="3">
        <v>0.25783984087799999</v>
      </c>
      <c r="C17" s="3" t="str" cm="1">
        <f t="array" ref="C17">_xll.BDP(A17,"GICS_SECTOR_NAME")</f>
        <v>Industrials</v>
      </c>
      <c r="D17" s="3" t="str" cm="1">
        <f t="array" ref="D17">_xll.BDP(A17,"GICS_INDUSTRY_NAME")</f>
        <v>Transportation Infrastructure</v>
      </c>
      <c r="E17" s="4" cm="1">
        <f t="array" ref="E17">_xll.BDP($A17,"UD_OVERALL_FACTOR_PERCENTILE")</f>
        <v>47.21</v>
      </c>
      <c r="F17" s="5" cm="1">
        <f t="array" ref="F17">IFERROR(_xll.BDP($A17,"UD_OPERATING_QUALITY_FP"),50)</f>
        <v>33.46</v>
      </c>
      <c r="G17" s="4" cm="1">
        <f t="array" ref="G17">_xll.BDP($A17,"UD_OPERATING_QUALITY_RANK")</f>
        <v>12</v>
      </c>
      <c r="H17" s="4" cm="1">
        <f t="array" ref="H17">_xll.BDP($A17,"UD_GROWTH_PERCENTILE")</f>
        <v>38.049999999999997</v>
      </c>
      <c r="I17" s="6" cm="1">
        <f t="array" ref="I17">_xll.BDP($A17,"UD_GROWTH_RANK")</f>
        <v>23</v>
      </c>
      <c r="J17" s="4" cm="1">
        <f t="array" ref="J17">_xll.BDP($A17,"UD_VALUATION_PERCENTILE")</f>
        <v>52.44</v>
      </c>
      <c r="K17" s="4" cm="1">
        <f t="array" ref="K17">_xll.BDP($A17,"UD_VALUATION_RANK")</f>
        <v>58</v>
      </c>
      <c r="L17" s="4" cm="1">
        <f t="array" ref="L17">_xll.BDP($A17,"UD_MOMENTUM_PERCENTILE")</f>
        <v>55.55</v>
      </c>
      <c r="M17" s="4" cm="1">
        <f t="array" ref="M17">_xll.BDP($A17,"UD_MOMENTUM_RANK")</f>
        <v>62</v>
      </c>
      <c r="N17" s="4" cm="1">
        <f t="array" ref="N17">_xll.BDP($A17,"UD_RISK_PERCENTILE")</f>
        <v>76.84</v>
      </c>
    </row>
    <row r="18" spans="1:14" x14ac:dyDescent="0.25">
      <c r="A18" t="str">
        <v>AGN NA Equity</v>
      </c>
      <c r="B18" s="3">
        <v>0.120124383695</v>
      </c>
      <c r="C18" s="3" t="str" cm="1">
        <f t="array" ref="C18">_xll.BDP(A18,"GICS_SECTOR_NAME")</f>
        <v>Financials</v>
      </c>
      <c r="D18" s="3" t="str" cm="1">
        <f t="array" ref="D18">_xll.BDP(A18,"GICS_INDUSTRY_NAME")</f>
        <v>Insurance</v>
      </c>
      <c r="E18" s="4" cm="1">
        <f t="array" ref="E18">_xll.BDP($A18,"UD_OVERALL_FACTOR_PERCENTILE")</f>
        <v>53.25</v>
      </c>
      <c r="F18" s="5" cm="1">
        <f t="array" ref="F18">IFERROR(_xll.BDP($A18,"UD_OPERATING_QUALITY_FP"),50)</f>
        <v>38.92</v>
      </c>
      <c r="G18" s="4" cm="1">
        <f t="array" ref="G18">_xll.BDP($A18,"UD_OPERATING_QUALITY_RANK")</f>
        <v>15</v>
      </c>
      <c r="H18" s="4" cm="1">
        <f t="array" ref="H18">_xll.BDP($A18,"UD_GROWTH_PERCENTILE")</f>
        <v>56.23</v>
      </c>
      <c r="I18" s="6" cm="1">
        <f t="array" ref="I18">_xll.BDP($A18,"UD_GROWTH_RANK")</f>
        <v>64</v>
      </c>
      <c r="J18" s="4" cm="1">
        <f t="array" ref="J18">_xll.BDP($A18,"UD_VALUATION_PERCENTILE")</f>
        <v>72.55</v>
      </c>
      <c r="K18" s="4" cm="1">
        <f t="array" ref="K18">_xll.BDP($A18,"UD_VALUATION_RANK")</f>
        <v>80</v>
      </c>
      <c r="L18" s="4" cm="1">
        <f t="array" ref="L18">_xll.BDP($A18,"UD_MOMENTUM_PERCENTILE")</f>
        <v>47.68</v>
      </c>
      <c r="M18" s="4" cm="1">
        <f t="array" ref="M18">_xll.BDP($A18,"UD_MOMENTUM_RANK")</f>
        <v>35</v>
      </c>
      <c r="N18" s="4" cm="1">
        <f t="array" ref="N18">_xll.BDP($A18,"UD_RISK_PERCENTILE")</f>
        <v>53.86</v>
      </c>
    </row>
    <row r="19" spans="1:14" x14ac:dyDescent="0.25">
      <c r="A19" t="str">
        <v>AGS BB Equity</v>
      </c>
      <c r="B19" s="3">
        <v>1.8961009918999999E-2</v>
      </c>
      <c r="C19" s="3" t="str" cm="1">
        <f t="array" ref="C19">_xll.BDP(A19,"GICS_SECTOR_NAME")</f>
        <v>Financials</v>
      </c>
      <c r="D19" s="3" t="str" cm="1">
        <f t="array" ref="D19">_xll.BDP(A19,"GICS_INDUSTRY_NAME")</f>
        <v>Insurance</v>
      </c>
      <c r="E19" s="4" cm="1">
        <f t="array" ref="E19">_xll.BDP($A19,"UD_OVERALL_FACTOR_PERCENTILE")</f>
        <v>61.7</v>
      </c>
      <c r="F19" s="5" cm="1">
        <f t="array" ref="F19">IFERROR(_xll.BDP($A19,"UD_OPERATING_QUALITY_FP"),50)</f>
        <v>60.87</v>
      </c>
      <c r="G19" s="4" cm="1">
        <f t="array" ref="G19">_xll.BDP($A19,"UD_OPERATING_QUALITY_RANK")</f>
        <v>74</v>
      </c>
      <c r="H19" s="4" cm="1">
        <f t="array" ref="H19">_xll.BDP($A19,"UD_GROWTH_PERCENTILE")</f>
        <v>65.5</v>
      </c>
      <c r="I19" s="6" cm="1">
        <f t="array" ref="I19">_xll.BDP($A19,"UD_GROWTH_RANK")</f>
        <v>83</v>
      </c>
      <c r="J19" s="4" cm="1">
        <f t="array" ref="J19">_xll.BDP($A19,"UD_VALUATION_PERCENTILE")</f>
        <v>74.819999999999993</v>
      </c>
      <c r="K19" s="4" cm="1">
        <f t="array" ref="K19">_xll.BDP($A19,"UD_VALUATION_RANK")</f>
        <v>91</v>
      </c>
      <c r="L19" s="4" cm="1">
        <f t="array" ref="L19">_xll.BDP($A19,"UD_MOMENTUM_PERCENTILE")</f>
        <v>49</v>
      </c>
      <c r="M19" s="4" cm="1">
        <f t="array" ref="M19">_xll.BDP($A19,"UD_MOMENTUM_RANK")</f>
        <v>37</v>
      </c>
      <c r="N19" s="4" cm="1">
        <f t="array" ref="N19">_xll.BDP($A19,"UD_RISK_PERCENTILE")</f>
        <v>82.94</v>
      </c>
    </row>
    <row r="20" spans="1:14" x14ac:dyDescent="0.25">
      <c r="A20" t="str">
        <v>AHT LN Equity</v>
      </c>
      <c r="B20" s="3">
        <v>0.35400418867099998</v>
      </c>
      <c r="C20" s="3" t="str" cm="1">
        <f t="array" ref="C20">_xll.BDP(A20,"GICS_SECTOR_NAME")</f>
        <v>Industrials</v>
      </c>
      <c r="D20" s="3" t="str" cm="1">
        <f t="array" ref="D20">_xll.BDP(A20,"GICS_INDUSTRY_NAME")</f>
        <v>Trading Companies &amp; Distributo</v>
      </c>
      <c r="E20" s="4" cm="1">
        <f t="array" ref="E20">_xll.BDP($A20,"UD_OVERALL_FACTOR_PERCENTILE")</f>
        <v>52.88</v>
      </c>
      <c r="F20" s="5" cm="1">
        <f t="array" ref="F20">IFERROR(_xll.BDP($A20,"UD_OPERATING_QUALITY_FP"),50)</f>
        <v>76.58</v>
      </c>
      <c r="G20" s="4" cm="1">
        <f t="array" ref="G20">_xll.BDP($A20,"UD_OPERATING_QUALITY_RANK")</f>
        <v>83</v>
      </c>
      <c r="H20" s="4" cm="1">
        <f t="array" ref="H20">_xll.BDP($A20,"UD_GROWTH_PERCENTILE")</f>
        <v>57.99</v>
      </c>
      <c r="I20" s="6" cm="1">
        <f t="array" ref="I20">_xll.BDP($A20,"UD_GROWTH_RANK")</f>
        <v>69</v>
      </c>
      <c r="J20" s="4" cm="1">
        <f t="array" ref="J20">_xll.BDP($A20,"UD_VALUATION_PERCENTILE")</f>
        <v>44.74</v>
      </c>
      <c r="K20" s="4" cm="1">
        <f t="array" ref="K20">_xll.BDP($A20,"UD_VALUATION_RANK")</f>
        <v>45</v>
      </c>
      <c r="L20" s="4" cm="1">
        <f t="array" ref="L20">_xll.BDP($A20,"UD_MOMENTUM_PERCENTILE")</f>
        <v>37.56</v>
      </c>
      <c r="M20" s="4" cm="1">
        <f t="array" ref="M20">_xll.BDP($A20,"UD_MOMENTUM_RANK")</f>
        <v>25</v>
      </c>
      <c r="N20" s="4" cm="1">
        <f t="array" ref="N20">_xll.BDP($A20,"UD_RISK_PERCENTILE")</f>
        <v>38.020000000000003</v>
      </c>
    </row>
    <row r="21" spans="1:14" x14ac:dyDescent="0.25">
      <c r="A21" t="str">
        <v>AI FP Equity</v>
      </c>
      <c r="B21" s="3">
        <v>0.69688519442100005</v>
      </c>
      <c r="C21" s="3" t="str" cm="1">
        <f t="array" ref="C21">_xll.BDP(A21,"GICS_SECTOR_NAME")</f>
        <v>Materials</v>
      </c>
      <c r="D21" s="3" t="str" cm="1">
        <f t="array" ref="D21">_xll.BDP(A21,"GICS_INDUSTRY_NAME")</f>
        <v>Chemicals</v>
      </c>
      <c r="E21" s="4" cm="1">
        <f t="array" ref="E21">_xll.BDP($A21,"UD_OVERALL_FACTOR_PERCENTILE")</f>
        <v>49.6</v>
      </c>
      <c r="F21" s="5" cm="1">
        <f t="array" ref="F21">IFERROR(_xll.BDP($A21,"UD_OPERATING_QUALITY_FP"),50)</f>
        <v>78.569999999999993</v>
      </c>
      <c r="G21" s="4" cm="1">
        <f t="array" ref="G21">_xll.BDP($A21,"UD_OPERATING_QUALITY_RANK")</f>
        <v>85</v>
      </c>
      <c r="H21" s="4" cm="1">
        <f t="array" ref="H21">_xll.BDP($A21,"UD_GROWTH_PERCENTILE")</f>
        <v>44.54</v>
      </c>
      <c r="I21" s="6" cm="1">
        <f t="array" ref="I21">_xll.BDP($A21,"UD_GROWTH_RANK")</f>
        <v>37</v>
      </c>
      <c r="J21" s="4" cm="1">
        <f t="array" ref="J21">_xll.BDP($A21,"UD_VALUATION_PERCENTILE")</f>
        <v>18.579999999999998</v>
      </c>
      <c r="K21" s="4" cm="1">
        <f t="array" ref="K21">_xll.BDP($A21,"UD_VALUATION_RANK")</f>
        <v>5</v>
      </c>
      <c r="L21" s="4" cm="1">
        <f t="array" ref="L21">_xll.BDP($A21,"UD_MOMENTUM_PERCENTILE")</f>
        <v>52.58</v>
      </c>
      <c r="M21" s="4" cm="1">
        <f t="array" ref="M21">_xll.BDP($A21,"UD_MOMENTUM_RANK")</f>
        <v>64</v>
      </c>
      <c r="N21" s="4" cm="1">
        <f t="array" ref="N21">_xll.BDP($A21,"UD_RISK_PERCENTILE")</f>
        <v>86.08</v>
      </c>
    </row>
    <row r="22" spans="1:14" x14ac:dyDescent="0.25">
      <c r="A22" t="str">
        <v>AIBG ID Equity</v>
      </c>
      <c r="B22" s="3">
        <v>0.164456432386</v>
      </c>
      <c r="C22" s="3" t="str" cm="1">
        <f t="array" ref="C22">_xll.BDP(A22,"GICS_SECTOR_NAME")</f>
        <v>Financials</v>
      </c>
      <c r="D22" s="3" t="str" cm="1">
        <f t="array" ref="D22">_xll.BDP(A22,"GICS_INDUSTRY_NAME")</f>
        <v>Banks</v>
      </c>
      <c r="E22" s="4" cm="1">
        <f t="array" ref="E22">_xll.BDP($A22,"UD_OVERALL_FACTOR_PERCENTILE")</f>
        <v>48.19</v>
      </c>
      <c r="F22" s="5" cm="1">
        <f t="array" ref="F22">IFERROR(_xll.BDP($A22,"UD_OPERATING_QUALITY_FP"),50)</f>
        <v>39.799999999999997</v>
      </c>
      <c r="G22" s="4" cm="1">
        <f t="array" ref="G22">_xll.BDP($A22,"UD_OPERATING_QUALITY_RANK")</f>
        <v>22</v>
      </c>
      <c r="H22" s="4" cm="1">
        <f t="array" ref="H22">_xll.BDP($A22,"UD_GROWTH_PERCENTILE")</f>
        <v>55.65</v>
      </c>
      <c r="I22" s="6" cm="1">
        <f t="array" ref="I22">_xll.BDP($A22,"UD_GROWTH_RANK")</f>
        <v>63</v>
      </c>
      <c r="J22" s="4" cm="1">
        <f t="array" ref="J22">_xll.BDP($A22,"UD_VALUATION_PERCENTILE")</f>
        <v>55.86</v>
      </c>
      <c r="K22" s="4" cm="1">
        <f t="array" ref="K22">_xll.BDP($A22,"UD_VALUATION_RANK")</f>
        <v>73</v>
      </c>
      <c r="L22" s="4" cm="1">
        <f t="array" ref="L22">_xll.BDP($A22,"UD_MOMENTUM_PERCENTILE")</f>
        <v>48.67</v>
      </c>
      <c r="M22" s="4" cm="1">
        <f t="array" ref="M22">_xll.BDP($A22,"UD_MOMENTUM_RANK")</f>
        <v>51</v>
      </c>
      <c r="N22" s="4" cm="1">
        <f t="array" ref="N22">_xll.BDP($A22,"UD_RISK_PERCENTILE")</f>
        <v>36.03</v>
      </c>
    </row>
    <row r="23" spans="1:14" x14ac:dyDescent="0.25">
      <c r="A23" t="str">
        <v>AKE FP Equity</v>
      </c>
      <c r="B23" s="3">
        <v>0.107223988987</v>
      </c>
      <c r="C23" s="3" t="str" cm="1">
        <f t="array" ref="C23">_xll.BDP(A23,"GICS_SECTOR_NAME")</f>
        <v>Materials</v>
      </c>
      <c r="D23" s="3" t="str" cm="1">
        <f t="array" ref="D23">_xll.BDP(A23,"GICS_INDUSTRY_NAME")</f>
        <v>Chemicals</v>
      </c>
      <c r="E23" s="4" cm="1">
        <f t="array" ref="E23">_xll.BDP($A23,"UD_OVERALL_FACTOR_PERCENTILE")</f>
        <v>50.12</v>
      </c>
      <c r="F23" s="5" cm="1">
        <f t="array" ref="F23">IFERROR(_xll.BDP($A23,"UD_OPERATING_QUALITY_FP"),50)</f>
        <v>47.39</v>
      </c>
      <c r="G23" s="4" cm="1">
        <f t="array" ref="G23">_xll.BDP($A23,"UD_OPERATING_QUALITY_RANK")</f>
        <v>47</v>
      </c>
      <c r="H23" s="4" cm="1">
        <f t="array" ref="H23">_xll.BDP($A23,"UD_GROWTH_PERCENTILE")</f>
        <v>35.85</v>
      </c>
      <c r="I23" s="6" cm="1">
        <f t="array" ref="I23">_xll.BDP($A23,"UD_GROWTH_RANK")</f>
        <v>19</v>
      </c>
      <c r="J23" s="4" cm="1">
        <f t="array" ref="J23">_xll.BDP($A23,"UD_VALUATION_PERCENTILE")</f>
        <v>64.27</v>
      </c>
      <c r="K23" s="4" cm="1">
        <f t="array" ref="K23">_xll.BDP($A23,"UD_VALUATION_RANK")</f>
        <v>76</v>
      </c>
      <c r="L23" s="4" cm="1">
        <f t="array" ref="L23">_xll.BDP($A23,"UD_MOMENTUM_PERCENTILE")</f>
        <v>38.270000000000003</v>
      </c>
      <c r="M23" s="4" cm="1">
        <f t="array" ref="M23">_xll.BDP($A23,"UD_MOMENTUM_RANK")</f>
        <v>23</v>
      </c>
      <c r="N23" s="4" cm="1">
        <f t="array" ref="N23">_xll.BDP($A23,"UD_RISK_PERCENTILE")</f>
        <v>50.31</v>
      </c>
    </row>
    <row r="24" spans="1:14" x14ac:dyDescent="0.25">
      <c r="A24" t="str">
        <v>AKZA NA Equity</v>
      </c>
      <c r="B24" s="3">
        <v>0.228570639065</v>
      </c>
      <c r="C24" s="3" t="str" cm="1">
        <f t="array" ref="C24">_xll.BDP(A24,"GICS_SECTOR_NAME")</f>
        <v>Materials</v>
      </c>
      <c r="D24" s="3" t="str" cm="1">
        <f t="array" ref="D24">_xll.BDP(A24,"GICS_INDUSTRY_NAME")</f>
        <v>Chemicals</v>
      </c>
      <c r="E24" s="4" cm="1">
        <f t="array" ref="E24">_xll.BDP($A24,"UD_OVERALL_FACTOR_PERCENTILE")</f>
        <v>51.41</v>
      </c>
      <c r="F24" s="5" cm="1">
        <f t="array" ref="F24">IFERROR(_xll.BDP($A24,"UD_OPERATING_QUALITY_FP"),50)</f>
        <v>71.599999999999994</v>
      </c>
      <c r="G24" s="4" cm="1">
        <f t="array" ref="G24">_xll.BDP($A24,"UD_OPERATING_QUALITY_RANK")</f>
        <v>78</v>
      </c>
      <c r="H24" s="4" cm="1">
        <f t="array" ref="H24">_xll.BDP($A24,"UD_GROWTH_PERCENTILE")</f>
        <v>47.25</v>
      </c>
      <c r="I24" s="6" cm="1">
        <f t="array" ref="I24">_xll.BDP($A24,"UD_GROWTH_RANK")</f>
        <v>42</v>
      </c>
      <c r="J24" s="4" cm="1">
        <f t="array" ref="J24">_xll.BDP($A24,"UD_VALUATION_PERCENTILE")</f>
        <v>34.43</v>
      </c>
      <c r="K24" s="4" cm="1">
        <f t="array" ref="K24">_xll.BDP($A24,"UD_VALUATION_RANK")</f>
        <v>23</v>
      </c>
      <c r="L24" s="4" cm="1">
        <f t="array" ref="L24">_xll.BDP($A24,"UD_MOMENTUM_PERCENTILE")</f>
        <v>48.71</v>
      </c>
      <c r="M24" s="4" cm="1">
        <f t="array" ref="M24">_xll.BDP($A24,"UD_MOMENTUM_RANK")</f>
        <v>49</v>
      </c>
      <c r="N24" s="4" cm="1">
        <f t="array" ref="N24">_xll.BDP($A24,"UD_RISK_PERCENTILE")</f>
        <v>61.69</v>
      </c>
    </row>
    <row r="25" spans="1:14" x14ac:dyDescent="0.25">
      <c r="A25" t="str">
        <v>ALC SW Equity</v>
      </c>
      <c r="B25" s="3">
        <v>0.26660422829800001</v>
      </c>
      <c r="C25" s="3" t="str" cm="1">
        <f t="array" ref="C25">_xll.BDP(A25,"GICS_SECTOR_NAME")</f>
        <v>Health Care</v>
      </c>
      <c r="D25" s="3" t="str" cm="1">
        <f t="array" ref="D25">_xll.BDP(A25,"GICS_INDUSTRY_NAME")</f>
        <v>Health Care Equipment &amp; Suppli</v>
      </c>
      <c r="E25" s="4" cm="1">
        <f t="array" ref="E25">_xll.BDP($A25,"UD_OVERALL_FACTOR_PERCENTILE")</f>
        <v>49.32</v>
      </c>
      <c r="F25" s="5" cm="1">
        <f t="array" ref="F25">IFERROR(_xll.BDP($A25,"UD_OPERATING_QUALITY_FP"),50)</f>
        <v>63.24</v>
      </c>
      <c r="G25" s="4" cm="1">
        <f t="array" ref="G25">_xll.BDP($A25,"UD_OPERATING_QUALITY_RANK")</f>
        <v>71</v>
      </c>
      <c r="H25" s="4" cm="1">
        <f t="array" ref="H25">_xll.BDP($A25,"UD_GROWTH_PERCENTILE")</f>
        <v>55.56</v>
      </c>
      <c r="I25" s="6" cm="1">
        <f t="array" ref="I25">_xll.BDP($A25,"UD_GROWTH_RANK")</f>
        <v>63</v>
      </c>
      <c r="J25" s="4" cm="1">
        <f t="array" ref="J25">_xll.BDP($A25,"UD_VALUATION_PERCENTILE")</f>
        <v>38.78</v>
      </c>
      <c r="K25" s="4" cm="1">
        <f t="array" ref="K25">_xll.BDP($A25,"UD_VALUATION_RANK")</f>
        <v>31</v>
      </c>
      <c r="L25" s="4" cm="1">
        <f t="array" ref="L25">_xll.BDP($A25,"UD_MOMENTUM_PERCENTILE")</f>
        <v>46.26</v>
      </c>
      <c r="M25" s="4" cm="1">
        <f t="array" ref="M25">_xll.BDP($A25,"UD_MOMENTUM_RANK")</f>
        <v>38</v>
      </c>
      <c r="N25" s="4" cm="1">
        <f t="array" ref="N25">_xll.BDP($A25,"UD_RISK_PERCENTILE")</f>
        <v>59.66</v>
      </c>
    </row>
    <row r="26" spans="1:14" x14ac:dyDescent="0.25">
      <c r="A26" t="str">
        <v>ALFA SS Equity</v>
      </c>
      <c r="B26" s="3">
        <v>0.34177218977399998</v>
      </c>
      <c r="C26" s="3" t="str" cm="1">
        <f t="array" ref="C26">_xll.BDP(A26,"GICS_SECTOR_NAME")</f>
        <v>Industrials</v>
      </c>
      <c r="D26" s="3" t="str" cm="1">
        <f t="array" ref="D26">_xll.BDP(A26,"GICS_INDUSTRY_NAME")</f>
        <v>Machinery</v>
      </c>
      <c r="E26" s="4" cm="1">
        <f t="array" ref="E26">_xll.BDP($A26,"UD_OVERALL_FACTOR_PERCENTILE")</f>
        <v>51.42</v>
      </c>
      <c r="F26" s="5" cm="1">
        <f t="array" ref="F26">IFERROR(_xll.BDP($A26,"UD_OPERATING_QUALITY_FP"),50)</f>
        <v>79.94</v>
      </c>
      <c r="G26" s="4" cm="1">
        <f t="array" ref="G26">_xll.BDP($A26,"UD_OPERATING_QUALITY_RANK")</f>
        <v>90</v>
      </c>
      <c r="H26" s="4" cm="1">
        <f t="array" ref="H26">_xll.BDP($A26,"UD_GROWTH_PERCENTILE")</f>
        <v>57.29</v>
      </c>
      <c r="I26" s="6" cm="1">
        <f t="array" ref="I26">_xll.BDP($A26,"UD_GROWTH_RANK")</f>
        <v>67</v>
      </c>
      <c r="J26" s="4" cm="1">
        <f t="array" ref="J26">_xll.BDP($A26,"UD_VALUATION_PERCENTILE")</f>
        <v>32.270000000000003</v>
      </c>
      <c r="K26" s="4" cm="1">
        <f t="array" ref="K26">_xll.BDP($A26,"UD_VALUATION_RANK")</f>
        <v>31</v>
      </c>
      <c r="L26" s="4" cm="1">
        <f t="array" ref="L26">_xll.BDP($A26,"UD_MOMENTUM_PERCENTILE")</f>
        <v>42.62</v>
      </c>
      <c r="M26" s="4" cm="1">
        <f t="array" ref="M26">_xll.BDP($A26,"UD_MOMENTUM_RANK")</f>
        <v>35</v>
      </c>
      <c r="N26" s="4" cm="1">
        <f t="array" ref="N26">_xll.BDP($A26,"UD_RISK_PERCENTILE")</f>
        <v>59.5</v>
      </c>
    </row>
    <row r="27" spans="1:14" x14ac:dyDescent="0.25">
      <c r="A27" t="str">
        <v>ALHG FP Equity</v>
      </c>
      <c r="B27" s="3">
        <v>2.0875553815E-2</v>
      </c>
      <c r="C27" s="3" t="str" cm="1">
        <f t="array" ref="C27">_xll.BDP(A27,"GICS_SECTOR_NAME")</f>
        <v>Communication Services</v>
      </c>
      <c r="D27" s="3" t="str" cm="1">
        <f t="array" ref="D27">_xll.BDP(A27,"GICS_INDUSTRY_NAME")</f>
        <v>Media</v>
      </c>
      <c r="E27" s="4" t="str" cm="1">
        <f t="array" ref="E27">_xll.BDP($A27,"UD_OVERALL_FACTOR_PERCENTILE")</f>
        <v>#N/A Field Not Applicable</v>
      </c>
      <c r="F27" s="5" t="str" cm="1">
        <f t="array" ref="F27">IFERROR(_xll.BDP($A27,"UD_OPERATING_QUALITY_FP"),50)</f>
        <v>#N/A Field Not Applicable</v>
      </c>
      <c r="G27" s="4" t="str" cm="1">
        <f t="array" ref="G27">_xll.BDP($A27,"UD_OPERATING_QUALITY_RANK")</f>
        <v>#N/A Field Not Applicable</v>
      </c>
      <c r="H27" s="4" t="str" cm="1">
        <f t="array" ref="H27">_xll.BDP($A27,"UD_GROWTH_PERCENTILE")</f>
        <v>#N/A Field Not Applicable</v>
      </c>
      <c r="I27" s="6" t="str" cm="1">
        <f t="array" ref="I27">_xll.BDP($A27,"UD_GROWTH_RANK")</f>
        <v>#N/A Field Not Applicable</v>
      </c>
      <c r="J27" s="4" t="str" cm="1">
        <f t="array" ref="J27">_xll.BDP($A27,"UD_VALUATION_PERCENTILE")</f>
        <v>#N/A Field Not Applicable</v>
      </c>
      <c r="K27" s="4" t="str" cm="1">
        <f t="array" ref="K27">_xll.BDP($A27,"UD_VALUATION_RANK")</f>
        <v>#N/A Field Not Applicable</v>
      </c>
      <c r="L27" s="4" t="str" cm="1">
        <f t="array" ref="L27">_xll.BDP($A27,"UD_MOMENTUM_PERCENTILE")</f>
        <v>#N/A Field Not Applicable</v>
      </c>
      <c r="M27" s="4" t="str" cm="1">
        <f t="array" ref="M27">_xll.BDP($A27,"UD_MOMENTUM_RANK")</f>
        <v>#N/A Field Not Applicable</v>
      </c>
      <c r="N27" s="4" t="str" cm="1">
        <f t="array" ref="N27">_xll.BDP($A27,"UD_RISK_PERCENTILE")</f>
        <v>#N/A Field Not Applicable</v>
      </c>
    </row>
    <row r="28" spans="1:14" x14ac:dyDescent="0.25">
      <c r="A28" t="str">
        <v>ALO FP Equity</v>
      </c>
      <c r="B28" s="3">
        <v>0.12580738757500001</v>
      </c>
      <c r="C28" s="3" t="str" cm="1">
        <f t="array" ref="C28">_xll.BDP(A28,"GICS_SECTOR_NAME")</f>
        <v>Industrials</v>
      </c>
      <c r="D28" s="3" t="str" cm="1">
        <f t="array" ref="D28">_xll.BDP(A28,"GICS_INDUSTRY_NAME")</f>
        <v>Machinery</v>
      </c>
      <c r="E28" s="4" cm="1">
        <f t="array" ref="E28">_xll.BDP($A28,"UD_OVERALL_FACTOR_PERCENTILE")</f>
        <v>56.49</v>
      </c>
      <c r="F28" s="5" cm="1">
        <f t="array" ref="F28">IFERROR(_xll.BDP($A28,"UD_OPERATING_QUALITY_FP"),50)</f>
        <v>59.75</v>
      </c>
      <c r="G28" s="4" cm="1">
        <f t="array" ref="G28">_xll.BDP($A28,"UD_OPERATING_QUALITY_RANK")</f>
        <v>56</v>
      </c>
      <c r="H28" s="4" cm="1">
        <f t="array" ref="H28">_xll.BDP($A28,"UD_GROWTH_PERCENTILE")</f>
        <v>52.98</v>
      </c>
      <c r="I28" s="6" cm="1">
        <f t="array" ref="I28">_xll.BDP($A28,"UD_GROWTH_RANK")</f>
        <v>57</v>
      </c>
      <c r="J28" s="4" cm="1">
        <f t="array" ref="J28">_xll.BDP($A28,"UD_VALUATION_PERCENTILE")</f>
        <v>52.89</v>
      </c>
      <c r="K28" s="4" cm="1">
        <f t="array" ref="K28">_xll.BDP($A28,"UD_VALUATION_RANK")</f>
        <v>59</v>
      </c>
      <c r="L28" s="4" cm="1">
        <f t="array" ref="L28">_xll.BDP($A28,"UD_MOMENTUM_PERCENTILE")</f>
        <v>56.95</v>
      </c>
      <c r="M28" s="4" cm="1">
        <f t="array" ref="M28">_xll.BDP($A28,"UD_MOMENTUM_RANK")</f>
        <v>65</v>
      </c>
      <c r="N28" s="4" cm="1">
        <f t="array" ref="N28">_xll.BDP($A28,"UD_RISK_PERCENTILE")</f>
        <v>24.74</v>
      </c>
    </row>
    <row r="29" spans="1:14" x14ac:dyDescent="0.25">
      <c r="A29" t="str">
        <v>ALV GY Equity</v>
      </c>
      <c r="B29" s="3">
        <v>1.4603468453999999</v>
      </c>
      <c r="C29" s="3" t="str" cm="1">
        <f t="array" ref="C29">_xll.BDP(A29,"GICS_SECTOR_NAME")</f>
        <v>Financials</v>
      </c>
      <c r="D29" s="3" t="str" cm="1">
        <f t="array" ref="D29">_xll.BDP(A29,"GICS_INDUSTRY_NAME")</f>
        <v>Insurance</v>
      </c>
      <c r="E29" s="4" cm="1">
        <f t="array" ref="E29">_xll.BDP($A29,"UD_OVERALL_FACTOR_PERCENTILE")</f>
        <v>46.57</v>
      </c>
      <c r="F29" s="5" cm="1">
        <f t="array" ref="F29">IFERROR(_xll.BDP($A29,"UD_OPERATING_QUALITY_FP"),50)</f>
        <v>59.09</v>
      </c>
      <c r="G29" s="4" cm="1">
        <f t="array" ref="G29">_xll.BDP($A29,"UD_OPERATING_QUALITY_RANK")</f>
        <v>67</v>
      </c>
      <c r="H29" s="4" cm="1">
        <f t="array" ref="H29">_xll.BDP($A29,"UD_GROWTH_PERCENTILE")</f>
        <v>65.22</v>
      </c>
      <c r="I29" s="6" cm="1">
        <f t="array" ref="I29">_xll.BDP($A29,"UD_GROWTH_RANK")</f>
        <v>82</v>
      </c>
      <c r="J29" s="4" cm="1">
        <f t="array" ref="J29">_xll.BDP($A29,"UD_VALUATION_PERCENTILE")</f>
        <v>34.229999999999997</v>
      </c>
      <c r="K29" s="4" cm="1">
        <f t="array" ref="K29">_xll.BDP($A29,"UD_VALUATION_RANK")</f>
        <v>28</v>
      </c>
      <c r="L29" s="4" cm="1">
        <f t="array" ref="L29">_xll.BDP($A29,"UD_MOMENTUM_PERCENTILE")</f>
        <v>46.77</v>
      </c>
      <c r="M29" s="4" cm="1">
        <f t="array" ref="M29">_xll.BDP($A29,"UD_MOMENTUM_RANK")</f>
        <v>28</v>
      </c>
      <c r="N29" s="4" cm="1">
        <f t="array" ref="N29">_xll.BDP($A29,"UD_RISK_PERCENTILE")</f>
        <v>69.34</v>
      </c>
    </row>
    <row r="30" spans="1:14" x14ac:dyDescent="0.25">
      <c r="A30" t="str">
        <v>AMRZ SW Equity</v>
      </c>
      <c r="B30" s="3">
        <v>0.110670828761</v>
      </c>
      <c r="C30" s="3" t="str" cm="1">
        <f t="array" ref="C30">_xll.BDP(A30,"GICS_SECTOR_NAME")</f>
        <v>Materials</v>
      </c>
      <c r="D30" s="3" t="str" cm="1">
        <f t="array" ref="D30">_xll.BDP(A30,"GICS_INDUSTRY_NAME")</f>
        <v>Construction Materials</v>
      </c>
      <c r="E30" s="4" t="str" cm="1">
        <f t="array" ref="E30">_xll.BDP($A30,"UD_OVERALL_FACTOR_PERCENTILE")</f>
        <v>#N/A Field Not Applicable</v>
      </c>
      <c r="F30" s="5" t="str" cm="1">
        <f t="array" ref="F30">IFERROR(_xll.BDP($A30,"UD_OPERATING_QUALITY_FP"),50)</f>
        <v>#N/A Field Not Applicable</v>
      </c>
      <c r="G30" s="4" t="str" cm="1">
        <f t="array" ref="G30">_xll.BDP($A30,"UD_OPERATING_QUALITY_RANK")</f>
        <v>#N/A Field Not Applicable</v>
      </c>
      <c r="H30" s="4" t="str" cm="1">
        <f t="array" ref="H30">_xll.BDP($A30,"UD_GROWTH_PERCENTILE")</f>
        <v>#N/A Field Not Applicable</v>
      </c>
      <c r="I30" s="6" t="str" cm="1">
        <f t="array" ref="I30">_xll.BDP($A30,"UD_GROWTH_RANK")</f>
        <v>#N/A Field Not Applicable</v>
      </c>
      <c r="J30" s="4" t="str" cm="1">
        <f t="array" ref="J30">_xll.BDP($A30,"UD_VALUATION_PERCENTILE")</f>
        <v>#N/A Field Not Applicable</v>
      </c>
      <c r="K30" s="4" t="str" cm="1">
        <f t="array" ref="K30">_xll.BDP($A30,"UD_VALUATION_RANK")</f>
        <v>#N/A Field Not Applicable</v>
      </c>
      <c r="L30" s="4" t="str" cm="1">
        <f t="array" ref="L30">_xll.BDP($A30,"UD_MOMENTUM_PERCENTILE")</f>
        <v>#N/A Field Not Applicable</v>
      </c>
      <c r="M30" s="4" t="str" cm="1">
        <f t="array" ref="M30">_xll.BDP($A30,"UD_MOMENTUM_RANK")</f>
        <v>#N/A Field Not Applicable</v>
      </c>
      <c r="N30" s="4" t="str" cm="1">
        <f t="array" ref="N30">_xll.BDP($A30,"UD_RISK_PERCENTILE")</f>
        <v>#N/A Field Not Applicable</v>
      </c>
    </row>
    <row r="31" spans="1:14" x14ac:dyDescent="0.25">
      <c r="A31" t="str">
        <v>AMS SM Equity</v>
      </c>
      <c r="B31" s="3">
        <v>0.26983942894099999</v>
      </c>
      <c r="C31" s="3" t="str" cm="1">
        <f t="array" ref="C31">_xll.BDP(A31,"GICS_SECTOR_NAME")</f>
        <v>Consumer Discretionary</v>
      </c>
      <c r="D31" s="3" t="str" cm="1">
        <f t="array" ref="D31">_xll.BDP(A31,"GICS_INDUSTRY_NAME")</f>
        <v>Hotels, Restaurants &amp; Leisure</v>
      </c>
      <c r="E31" s="4" cm="1">
        <f t="array" ref="E31">_xll.BDP($A31,"UD_OVERALL_FACTOR_PERCENTILE")</f>
        <v>45.01</v>
      </c>
      <c r="F31" s="5" cm="1">
        <f t="array" ref="F31">IFERROR(_xll.BDP($A31,"UD_OPERATING_QUALITY_FP"),50)</f>
        <v>58.96</v>
      </c>
      <c r="G31" s="4" cm="1">
        <f t="array" ref="G31">_xll.BDP($A31,"UD_OPERATING_QUALITY_RANK")</f>
        <v>59</v>
      </c>
      <c r="H31" s="4" cm="1">
        <f t="array" ref="H31">_xll.BDP($A31,"UD_GROWTH_PERCENTILE")</f>
        <v>43.19</v>
      </c>
      <c r="I31" s="6" cm="1">
        <f t="array" ref="I31">_xll.BDP($A31,"UD_GROWTH_RANK")</f>
        <v>34</v>
      </c>
      <c r="J31" s="4" cm="1">
        <f t="array" ref="J31">_xll.BDP($A31,"UD_VALUATION_PERCENTILE")</f>
        <v>21.66</v>
      </c>
      <c r="K31" s="4" cm="1">
        <f t="array" ref="K31">_xll.BDP($A31,"UD_VALUATION_RANK")</f>
        <v>9</v>
      </c>
      <c r="L31" s="4" cm="1">
        <f t="array" ref="L31">_xll.BDP($A31,"UD_MOMENTUM_PERCENTILE")</f>
        <v>55.13</v>
      </c>
      <c r="M31" s="4" cm="1">
        <f t="array" ref="M31">_xll.BDP($A31,"UD_MOMENTUM_RANK")</f>
        <v>66</v>
      </c>
      <c r="N31" s="4" cm="1">
        <f t="array" ref="N31">_xll.BDP($A31,"UD_RISK_PERCENTILE")</f>
        <v>55.14</v>
      </c>
    </row>
    <row r="32" spans="1:14" x14ac:dyDescent="0.25">
      <c r="A32" t="str">
        <v>ANA SM Equity</v>
      </c>
      <c r="B32" s="3">
        <v>0.19432719218399999</v>
      </c>
      <c r="C32" s="3" t="str" cm="1">
        <f t="array" ref="C32">_xll.BDP(A32,"GICS_SECTOR_NAME")</f>
        <v>Utilities</v>
      </c>
      <c r="D32" s="3" t="str" cm="1">
        <f t="array" ref="D32">_xll.BDP(A32,"GICS_INDUSTRY_NAME")</f>
        <v>Electric Utilities</v>
      </c>
      <c r="E32" s="4" cm="1">
        <f t="array" ref="E32">_xll.BDP($A32,"UD_OVERALL_FACTOR_PERCENTILE")</f>
        <v>51.43</v>
      </c>
      <c r="F32" s="5" cm="1">
        <f t="array" ref="F32">IFERROR(_xll.BDP($A32,"UD_OPERATING_QUALITY_FP"),50)</f>
        <v>47.1</v>
      </c>
      <c r="G32" s="4" cm="1">
        <f t="array" ref="G32">_xll.BDP($A32,"UD_OPERATING_QUALITY_RANK")</f>
        <v>40</v>
      </c>
      <c r="H32" s="4" cm="1">
        <f t="array" ref="H32">_xll.BDP($A32,"UD_GROWTH_PERCENTILE")</f>
        <v>70.83</v>
      </c>
      <c r="I32" s="6" cm="1">
        <f t="array" ref="I32">_xll.BDP($A32,"UD_GROWTH_RANK")</f>
        <v>91</v>
      </c>
      <c r="J32" s="4" cm="1">
        <f t="array" ref="J32">_xll.BDP($A32,"UD_VALUATION_PERCENTILE")</f>
        <v>38.24</v>
      </c>
      <c r="K32" s="4" cm="1">
        <f t="array" ref="K32">_xll.BDP($A32,"UD_VALUATION_RANK")</f>
        <v>25</v>
      </c>
      <c r="L32" s="4" cm="1">
        <f t="array" ref="L32">_xll.BDP($A32,"UD_MOMENTUM_PERCENTILE")</f>
        <v>69.36</v>
      </c>
      <c r="M32" s="4" cm="1">
        <f t="array" ref="M32">_xll.BDP($A32,"UD_MOMENTUM_RANK")</f>
        <v>80</v>
      </c>
      <c r="N32" s="4" cm="1">
        <f t="array" ref="N32">_xll.BDP($A32,"UD_RISK_PERCENTILE")</f>
        <v>66.88</v>
      </c>
    </row>
    <row r="33" spans="1:14" x14ac:dyDescent="0.25">
      <c r="A33" t="str">
        <v>ANTO LN Equity</v>
      </c>
      <c r="B33" s="3">
        <v>0.25977677724300002</v>
      </c>
      <c r="C33" s="3" t="str" cm="1">
        <f t="array" ref="C33">_xll.BDP(A33,"GICS_SECTOR_NAME")</f>
        <v>Materials</v>
      </c>
      <c r="D33" s="3" t="str" cm="1">
        <f t="array" ref="D33">_xll.BDP(A33,"GICS_INDUSTRY_NAME")</f>
        <v>Metals &amp; Mining</v>
      </c>
      <c r="E33" s="4" cm="1">
        <f t="array" ref="E33">_xll.BDP($A33,"UD_OVERALL_FACTOR_PERCENTILE")</f>
        <v>43.13</v>
      </c>
      <c r="F33" s="5" cm="1">
        <f t="array" ref="F33">IFERROR(_xll.BDP($A33,"UD_OPERATING_QUALITY_FP"),50)</f>
        <v>39.5</v>
      </c>
      <c r="G33" s="4" cm="1">
        <f t="array" ref="G33">_xll.BDP($A33,"UD_OPERATING_QUALITY_RANK")</f>
        <v>27</v>
      </c>
      <c r="H33" s="4" cm="1">
        <f t="array" ref="H33">_xll.BDP($A33,"UD_GROWTH_PERCENTILE")</f>
        <v>44.28</v>
      </c>
      <c r="I33" s="6" cm="1">
        <f t="array" ref="I33">_xll.BDP($A33,"UD_GROWTH_RANK")</f>
        <v>29</v>
      </c>
      <c r="J33" s="4" cm="1">
        <f t="array" ref="J33">_xll.BDP($A33,"UD_VALUATION_PERCENTILE")</f>
        <v>36.9</v>
      </c>
      <c r="K33" s="4" cm="1">
        <f t="array" ref="K33">_xll.BDP($A33,"UD_VALUATION_RANK")</f>
        <v>26</v>
      </c>
      <c r="L33" s="4" cm="1">
        <f t="array" ref="L33">_xll.BDP($A33,"UD_MOMENTUM_PERCENTILE")</f>
        <v>53.19</v>
      </c>
      <c r="M33" s="4" cm="1">
        <f t="array" ref="M33">_xll.BDP($A33,"UD_MOMENTUM_RANK")</f>
        <v>54</v>
      </c>
      <c r="N33" s="4" cm="1">
        <f t="array" ref="N33">_xll.BDP($A33,"UD_RISK_PERCENTILE")</f>
        <v>40.49</v>
      </c>
    </row>
    <row r="34" spans="1:14" x14ac:dyDescent="0.25">
      <c r="A34" t="str">
        <v>ARGX BB Equity</v>
      </c>
      <c r="B34" s="3">
        <v>0.36173061764100001</v>
      </c>
      <c r="C34" s="3" t="str" cm="1">
        <f t="array" ref="C34">_xll.BDP(A34,"GICS_SECTOR_NAME")</f>
        <v>Health Care</v>
      </c>
      <c r="D34" s="3" t="str" cm="1">
        <f t="array" ref="D34">_xll.BDP(A34,"GICS_INDUSTRY_NAME")</f>
        <v>Biotechnology</v>
      </c>
      <c r="E34" s="4" cm="1">
        <f t="array" ref="E34">_xll.BDP($A34,"UD_OVERALL_FACTOR_PERCENTILE")</f>
        <v>54.81</v>
      </c>
      <c r="F34" s="5" cm="1">
        <f t="array" ref="F34">IFERROR(_xll.BDP($A34,"UD_OPERATING_QUALITY_FP"),50)</f>
        <v>38.67</v>
      </c>
      <c r="G34" s="4" cm="1">
        <f t="array" ref="G34">_xll.BDP($A34,"UD_OPERATING_QUALITY_RANK")</f>
        <v>21</v>
      </c>
      <c r="H34" s="4" cm="1">
        <f t="array" ref="H34">_xll.BDP($A34,"UD_GROWTH_PERCENTILE")</f>
        <v>87.76</v>
      </c>
      <c r="I34" s="6" cm="1">
        <f t="array" ref="I34">_xll.BDP($A34,"UD_GROWTH_RANK")</f>
        <v>99</v>
      </c>
      <c r="J34" s="4" cm="1">
        <f t="array" ref="J34">_xll.BDP($A34,"UD_VALUATION_PERCENTILE")</f>
        <v>47.75</v>
      </c>
      <c r="K34" s="4" cm="1">
        <f t="array" ref="K34">_xll.BDP($A34,"UD_VALUATION_RANK")</f>
        <v>46</v>
      </c>
      <c r="L34" s="4" cm="1">
        <f t="array" ref="L34">_xll.BDP($A34,"UD_MOMENTUM_PERCENTILE")</f>
        <v>78.22</v>
      </c>
      <c r="M34" s="4" cm="1">
        <f t="array" ref="M34">_xll.BDP($A34,"UD_MOMENTUM_RANK")</f>
        <v>93</v>
      </c>
      <c r="N34" s="4" cm="1">
        <f t="array" ref="N34">_xll.BDP($A34,"UD_RISK_PERCENTILE")</f>
        <v>48.02</v>
      </c>
    </row>
    <row r="35" spans="1:14" x14ac:dyDescent="0.25">
      <c r="A35" t="str">
        <v>ASM NA Equity</v>
      </c>
      <c r="B35" s="3">
        <v>0.207290376788</v>
      </c>
      <c r="C35" s="3" t="str" cm="1">
        <f t="array" ref="C35">_xll.BDP(A35,"GICS_SECTOR_NAME")</f>
        <v>Information Technology</v>
      </c>
      <c r="D35" s="3" t="str" cm="1">
        <f t="array" ref="D35">_xll.BDP(A35,"GICS_INDUSTRY_NAME")</f>
        <v>Semiconductors &amp; Semiconductor</v>
      </c>
      <c r="E35" s="4" cm="1">
        <f t="array" ref="E35">_xll.BDP($A35,"UD_OVERALL_FACTOR_PERCENTILE")</f>
        <v>47.45</v>
      </c>
      <c r="F35" s="5" cm="1">
        <f t="array" ref="F35">IFERROR(_xll.BDP($A35,"UD_OPERATING_QUALITY_FP"),50)</f>
        <v>76.05</v>
      </c>
      <c r="G35" s="4" cm="1">
        <f t="array" ref="G35">_xll.BDP($A35,"UD_OPERATING_QUALITY_RANK")</f>
        <v>84</v>
      </c>
      <c r="H35" s="4" cm="1">
        <f t="array" ref="H35">_xll.BDP($A35,"UD_GROWTH_PERCENTILE")</f>
        <v>70.540000000000006</v>
      </c>
      <c r="I35" s="6" cm="1">
        <f t="array" ref="I35">_xll.BDP($A35,"UD_GROWTH_RANK")</f>
        <v>91</v>
      </c>
      <c r="J35" s="4" cm="1">
        <f t="array" ref="J35">_xll.BDP($A35,"UD_VALUATION_PERCENTILE")</f>
        <v>45.66</v>
      </c>
      <c r="K35" s="4" cm="1">
        <f t="array" ref="K35">_xll.BDP($A35,"UD_VALUATION_RANK")</f>
        <v>49</v>
      </c>
      <c r="L35" s="4" cm="1">
        <f t="array" ref="L35">_xll.BDP($A35,"UD_MOMENTUM_PERCENTILE")</f>
        <v>20.69</v>
      </c>
      <c r="M35" s="4" cm="1">
        <f t="array" ref="M35">_xll.BDP($A35,"UD_MOMENTUM_RANK")</f>
        <v>12</v>
      </c>
      <c r="N35" s="4" cm="1">
        <f t="array" ref="N35">_xll.BDP($A35,"UD_RISK_PERCENTILE")</f>
        <v>15.05</v>
      </c>
    </row>
    <row r="36" spans="1:14" x14ac:dyDescent="0.25">
      <c r="A36" t="str">
        <v>ASML NA Equity</v>
      </c>
      <c r="B36" s="3">
        <v>2.5426793787620001</v>
      </c>
      <c r="C36" s="3" t="str" cm="1">
        <f t="array" ref="C36">_xll.BDP(A36,"GICS_SECTOR_NAME")</f>
        <v>Information Technology</v>
      </c>
      <c r="D36" s="3" t="str" cm="1">
        <f t="array" ref="D36">_xll.BDP(A36,"GICS_INDUSTRY_NAME")</f>
        <v>Semiconductors &amp; Semiconductor</v>
      </c>
      <c r="E36" s="4" cm="1">
        <f t="array" ref="E36">_xll.BDP($A36,"UD_OVERALL_FACTOR_PERCENTILE")</f>
        <v>59.27</v>
      </c>
      <c r="F36" s="5" cm="1">
        <f t="array" ref="F36">IFERROR(_xll.BDP($A36,"UD_OPERATING_QUALITY_FP"),50)</f>
        <v>74.290000000000006</v>
      </c>
      <c r="G36" s="4" cm="1">
        <f t="array" ref="G36">_xll.BDP($A36,"UD_OPERATING_QUALITY_RANK")</f>
        <v>79</v>
      </c>
      <c r="H36" s="4" cm="1">
        <f t="array" ref="H36">_xll.BDP($A36,"UD_GROWTH_PERCENTILE")</f>
        <v>66.39</v>
      </c>
      <c r="I36" s="6" cm="1">
        <f t="array" ref="I36">_xll.BDP($A36,"UD_GROWTH_RANK")</f>
        <v>85</v>
      </c>
      <c r="J36" s="4" cm="1">
        <f t="array" ref="J36">_xll.BDP($A36,"UD_VALUATION_PERCENTILE")</f>
        <v>50.24</v>
      </c>
      <c r="K36" s="4" cm="1">
        <f t="array" ref="K36">_xll.BDP($A36,"UD_VALUATION_RANK")</f>
        <v>57</v>
      </c>
      <c r="L36" s="4" cm="1">
        <f t="array" ref="L36">_xll.BDP($A36,"UD_MOMENTUM_PERCENTILE")</f>
        <v>53.54</v>
      </c>
      <c r="M36" s="4" cm="1">
        <f t="array" ref="M36">_xll.BDP($A36,"UD_MOMENTUM_RANK")</f>
        <v>61</v>
      </c>
      <c r="N36" s="4" cm="1">
        <f t="array" ref="N36">_xll.BDP($A36,"UD_RISK_PERCENTILE")</f>
        <v>24.39</v>
      </c>
    </row>
    <row r="37" spans="1:14" x14ac:dyDescent="0.25">
      <c r="A37" t="str">
        <v>ASRNL NA Equity</v>
      </c>
      <c r="B37" s="3">
        <v>0.109627735506</v>
      </c>
      <c r="C37" s="3" t="str" cm="1">
        <f t="array" ref="C37">_xll.BDP(A37,"GICS_SECTOR_NAME")</f>
        <v>Financials</v>
      </c>
      <c r="D37" s="3" t="str" cm="1">
        <f t="array" ref="D37">_xll.BDP(A37,"GICS_INDUSTRY_NAME")</f>
        <v>Insurance</v>
      </c>
      <c r="E37" s="4" cm="1">
        <f t="array" ref="E37">_xll.BDP($A37,"UD_OVERALL_FACTOR_PERCENTILE")</f>
        <v>53.95</v>
      </c>
      <c r="F37" s="5" cm="1">
        <f t="array" ref="F37">IFERROR(_xll.BDP($A37,"UD_OPERATING_QUALITY_FP"),50)</f>
        <v>56.74</v>
      </c>
      <c r="G37" s="4" cm="1">
        <f t="array" ref="G37">_xll.BDP($A37,"UD_OPERATING_QUALITY_RANK")</f>
        <v>54</v>
      </c>
      <c r="H37" s="4" cm="1">
        <f t="array" ref="H37">_xll.BDP($A37,"UD_GROWTH_PERCENTILE")</f>
        <v>59.77</v>
      </c>
      <c r="I37" s="6" cm="1">
        <f t="array" ref="I37">_xll.BDP($A37,"UD_GROWTH_RANK")</f>
        <v>73</v>
      </c>
      <c r="J37" s="4" cm="1">
        <f t="array" ref="J37">_xll.BDP($A37,"UD_VALUATION_PERCENTILE")</f>
        <v>52.25</v>
      </c>
      <c r="K37" s="4" cm="1">
        <f t="array" ref="K37">_xll.BDP($A37,"UD_VALUATION_RANK")</f>
        <v>61</v>
      </c>
      <c r="L37" s="4" cm="1">
        <f t="array" ref="L37">_xll.BDP($A37,"UD_MOMENTUM_PERCENTILE")</f>
        <v>52.91</v>
      </c>
      <c r="M37" s="4" cm="1">
        <f t="array" ref="M37">_xll.BDP($A37,"UD_MOMENTUM_RANK")</f>
        <v>46</v>
      </c>
      <c r="N37" s="4" cm="1">
        <f t="array" ref="N37">_xll.BDP($A37,"UD_RISK_PERCENTILE")</f>
        <v>82.7</v>
      </c>
    </row>
    <row r="38" spans="1:14" x14ac:dyDescent="0.25">
      <c r="A38" t="str">
        <v>ASSAB SS Equity</v>
      </c>
      <c r="B38" s="3">
        <v>0.40512619426099999</v>
      </c>
      <c r="C38" s="3" t="str" cm="1">
        <f t="array" ref="C38">_xll.BDP(A38,"GICS_SECTOR_NAME")</f>
        <v>Industrials</v>
      </c>
      <c r="D38" s="3" t="str" cm="1">
        <f t="array" ref="D38">_xll.BDP(A38,"GICS_INDUSTRY_NAME")</f>
        <v>Building Products</v>
      </c>
      <c r="E38" s="4" cm="1">
        <f t="array" ref="E38">_xll.BDP($A38,"UD_OVERALL_FACTOR_PERCENTILE")</f>
        <v>56.38</v>
      </c>
      <c r="F38" s="5" cm="1">
        <f t="array" ref="F38">IFERROR(_xll.BDP($A38,"UD_OPERATING_QUALITY_FP"),50)</f>
        <v>84.74</v>
      </c>
      <c r="G38" s="4" cm="1">
        <f t="array" ref="G38">_xll.BDP($A38,"UD_OPERATING_QUALITY_RANK")</f>
        <v>96</v>
      </c>
      <c r="H38" s="4" cm="1">
        <f t="array" ref="H38">_xll.BDP($A38,"UD_GROWTH_PERCENTILE")</f>
        <v>51.97</v>
      </c>
      <c r="I38" s="6" cm="1">
        <f t="array" ref="I38">_xll.BDP($A38,"UD_GROWTH_RANK")</f>
        <v>54</v>
      </c>
      <c r="J38" s="4" cm="1">
        <f t="array" ref="J38">_xll.BDP($A38,"UD_VALUATION_PERCENTILE")</f>
        <v>26.24</v>
      </c>
      <c r="K38" s="4" cm="1">
        <f t="array" ref="K38">_xll.BDP($A38,"UD_VALUATION_RANK")</f>
        <v>20</v>
      </c>
      <c r="L38" s="4" cm="1">
        <f t="array" ref="L38">_xll.BDP($A38,"UD_MOMENTUM_PERCENTILE")</f>
        <v>59.09</v>
      </c>
      <c r="M38" s="4" cm="1">
        <f t="array" ref="M38">_xll.BDP($A38,"UD_MOMENTUM_RANK")</f>
        <v>69</v>
      </c>
      <c r="N38" s="4" cm="1">
        <f t="array" ref="N38">_xll.BDP($A38,"UD_RISK_PERCENTILE")</f>
        <v>73.37</v>
      </c>
    </row>
    <row r="39" spans="1:14" x14ac:dyDescent="0.25">
      <c r="A39" t="str">
        <v>ATCOA SS Equity</v>
      </c>
      <c r="B39" s="3">
        <v>0.54702904350100001</v>
      </c>
      <c r="C39" s="3" t="str" cm="1">
        <f t="array" ref="C39">_xll.BDP(A39,"GICS_SECTOR_NAME")</f>
        <v>Industrials</v>
      </c>
      <c r="D39" s="3" t="str" cm="1">
        <f t="array" ref="D39">_xll.BDP(A39,"GICS_INDUSTRY_NAME")</f>
        <v>Machinery</v>
      </c>
      <c r="E39" s="4" cm="1">
        <f t="array" ref="E39">_xll.BDP($A39,"UD_OVERALL_FACTOR_PERCENTILE")</f>
        <v>45.74</v>
      </c>
      <c r="F39" s="5" cm="1">
        <f t="array" ref="F39">IFERROR(_xll.BDP($A39,"UD_OPERATING_QUALITY_FP"),50)</f>
        <v>86.56</v>
      </c>
      <c r="G39" s="4" cm="1">
        <f t="array" ref="G39">_xll.BDP($A39,"UD_OPERATING_QUALITY_RANK")</f>
        <v>99</v>
      </c>
      <c r="H39" s="4" cm="1">
        <f t="array" ref="H39">_xll.BDP($A39,"UD_GROWTH_PERCENTILE")</f>
        <v>50.57</v>
      </c>
      <c r="I39" s="6" cm="1">
        <f t="array" ref="I39">_xll.BDP($A39,"UD_GROWTH_RANK")</f>
        <v>50</v>
      </c>
      <c r="J39" s="4" cm="1">
        <f t="array" ref="J39">_xll.BDP($A39,"UD_VALUATION_PERCENTILE")</f>
        <v>22.02</v>
      </c>
      <c r="K39" s="4" cm="1">
        <f t="array" ref="K39">_xll.BDP($A39,"UD_VALUATION_RANK")</f>
        <v>14</v>
      </c>
      <c r="L39" s="4" cm="1">
        <f t="array" ref="L39">_xll.BDP($A39,"UD_MOMENTUM_PERCENTILE")</f>
        <v>29.35</v>
      </c>
      <c r="M39" s="4" cm="1">
        <f t="array" ref="M39">_xll.BDP($A39,"UD_MOMENTUM_RANK")</f>
        <v>12</v>
      </c>
      <c r="N39" s="4" cm="1">
        <f t="array" ref="N39">_xll.BDP($A39,"UD_RISK_PERCENTILE")</f>
        <v>49.25</v>
      </c>
    </row>
    <row r="40" spans="1:14" x14ac:dyDescent="0.25">
      <c r="A40" t="str">
        <v>AUTO LN Equity</v>
      </c>
      <c r="B40" s="3">
        <v>0.11931562084199999</v>
      </c>
      <c r="C40" s="3" t="str" cm="1">
        <f t="array" ref="C40">_xll.BDP(A40,"GICS_SECTOR_NAME")</f>
        <v>Communication Services</v>
      </c>
      <c r="D40" s="3" t="str" cm="1">
        <f t="array" ref="D40">_xll.BDP(A40,"GICS_INDUSTRY_NAME")</f>
        <v>Interactive Media &amp; Services</v>
      </c>
      <c r="E40" s="4" cm="1">
        <f t="array" ref="E40">_xll.BDP($A40,"UD_OVERALL_FACTOR_PERCENTILE")</f>
        <v>44.97</v>
      </c>
      <c r="F40" s="5" cm="1">
        <f t="array" ref="F40">IFERROR(_xll.BDP($A40,"UD_OPERATING_QUALITY_FP"),50)</f>
        <v>75.41</v>
      </c>
      <c r="G40" s="4" cm="1">
        <f t="array" ref="G40">_xll.BDP($A40,"UD_OPERATING_QUALITY_RANK")</f>
        <v>90</v>
      </c>
      <c r="H40" s="4" cm="1">
        <f t="array" ref="H40">_xll.BDP($A40,"UD_GROWTH_PERCENTILE")</f>
        <v>74.55</v>
      </c>
      <c r="I40" s="6" cm="1">
        <f t="array" ref="I40">_xll.BDP($A40,"UD_GROWTH_RANK")</f>
        <v>94</v>
      </c>
      <c r="J40" s="4" cm="1">
        <f t="array" ref="J40">_xll.BDP($A40,"UD_VALUATION_PERCENTILE")</f>
        <v>18.78</v>
      </c>
      <c r="K40" s="4" cm="1">
        <f t="array" ref="K40">_xll.BDP($A40,"UD_VALUATION_RANK")</f>
        <v>5</v>
      </c>
      <c r="L40" s="4" cm="1">
        <f t="array" ref="L40">_xll.BDP($A40,"UD_MOMENTUM_PERCENTILE")</f>
        <v>41.49</v>
      </c>
      <c r="M40" s="4" cm="1">
        <f t="array" ref="M40">_xll.BDP($A40,"UD_MOMENTUM_RANK")</f>
        <v>25</v>
      </c>
      <c r="N40" s="4" cm="1">
        <f t="array" ref="N40">_xll.BDP($A40,"UD_RISK_PERCENTILE")</f>
        <v>81.62</v>
      </c>
    </row>
    <row r="41" spans="1:14" x14ac:dyDescent="0.25">
      <c r="A41" t="str">
        <v>AV/ LN Equity</v>
      </c>
      <c r="B41" s="3">
        <v>0.28988457048299998</v>
      </c>
      <c r="C41" s="3" t="str" cm="1">
        <f t="array" ref="C41">_xll.BDP(A41,"GICS_SECTOR_NAME")</f>
        <v>Financials</v>
      </c>
      <c r="D41" s="3" t="str" cm="1">
        <f t="array" ref="D41">_xll.BDP(A41,"GICS_INDUSTRY_NAME")</f>
        <v>Insurance</v>
      </c>
      <c r="E41" s="4" cm="1">
        <f t="array" ref="E41">_xll.BDP($A41,"UD_OVERALL_FACTOR_PERCENTILE")</f>
        <v>55.62</v>
      </c>
      <c r="F41" s="5" cm="1">
        <f t="array" ref="F41">IFERROR(_xll.BDP($A41,"UD_OPERATING_QUALITY_FP"),50)</f>
        <v>49.73</v>
      </c>
      <c r="G41" s="4" cm="1">
        <f t="array" ref="G41">_xll.BDP($A41,"UD_OPERATING_QUALITY_RANK")</f>
        <v>33</v>
      </c>
      <c r="H41" s="4" cm="1">
        <f t="array" ref="H41">_xll.BDP($A41,"UD_GROWTH_PERCENTILE")</f>
        <v>45.66</v>
      </c>
      <c r="I41" s="6" cm="1">
        <f t="array" ref="I41">_xll.BDP($A41,"UD_GROWTH_RANK")</f>
        <v>39</v>
      </c>
      <c r="J41" s="4" cm="1">
        <f t="array" ref="J41">_xll.BDP($A41,"UD_VALUATION_PERCENTILE")</f>
        <v>48.71</v>
      </c>
      <c r="K41" s="4" cm="1">
        <f t="array" ref="K41">_xll.BDP($A41,"UD_VALUATION_RANK")</f>
        <v>52</v>
      </c>
      <c r="L41" s="4" cm="1">
        <f t="array" ref="L41">_xll.BDP($A41,"UD_MOMENTUM_PERCENTILE")</f>
        <v>68.64</v>
      </c>
      <c r="M41" s="4" cm="1">
        <f t="array" ref="M41">_xll.BDP($A41,"UD_MOMENTUM_RANK")</f>
        <v>85</v>
      </c>
      <c r="N41" s="4" cm="1">
        <f t="array" ref="N41">_xll.BDP($A41,"UD_RISK_PERCENTILE")</f>
        <v>64.66</v>
      </c>
    </row>
    <row r="42" spans="1:14" x14ac:dyDescent="0.25">
      <c r="A42" t="str">
        <v>AZN LN Equity</v>
      </c>
      <c r="B42">
        <v>2.1305932907530001</v>
      </c>
      <c r="C42" s="3" t="str" cm="1">
        <f t="array" ref="C42">_xll.BDP(A42,"GICS_SECTOR_NAME")</f>
        <v>Health Care</v>
      </c>
      <c r="D42" s="3" t="str" cm="1">
        <f t="array" ref="D42">_xll.BDP(A42,"GICS_INDUSTRY_NAME")</f>
        <v>Pharmaceuticals</v>
      </c>
      <c r="E42" s="4" cm="1">
        <f t="array" ref="E42">_xll.BDP($A42,"UD_OVERALL_FACTOR_PERCENTILE")</f>
        <v>57.53</v>
      </c>
      <c r="F42" s="5" cm="1">
        <f t="array" ref="F42">IFERROR(_xll.BDP($A42,"UD_OPERATING_QUALITY_FP"),50)</f>
        <v>57.33</v>
      </c>
      <c r="G42" s="4" cm="1">
        <f t="array" ref="G42">_xll.BDP($A42,"UD_OPERATING_QUALITY_RANK")</f>
        <v>61</v>
      </c>
      <c r="H42" s="4" cm="1">
        <f t="array" ref="H42">_xll.BDP($A42,"UD_GROWTH_PERCENTILE")</f>
        <v>45.43</v>
      </c>
      <c r="I42" s="6" cm="1">
        <f t="array" ref="I42">_xll.BDP($A42,"UD_GROWTH_RANK")</f>
        <v>39</v>
      </c>
      <c r="J42" s="4" cm="1">
        <f t="array" ref="J42">_xll.BDP($A42,"UD_VALUATION_PERCENTILE")</f>
        <v>65.06</v>
      </c>
      <c r="K42" s="4" cm="1">
        <f t="array" ref="K42">_xll.BDP($A42,"UD_VALUATION_RANK")</f>
        <v>77</v>
      </c>
      <c r="L42" s="4" cm="1">
        <f t="array" ref="L42">_xll.BDP($A42,"UD_MOMENTUM_PERCENTILE")</f>
        <v>49.96</v>
      </c>
      <c r="M42" s="4" cm="1">
        <f t="array" ref="M42">_xll.BDP($A42,"UD_MOMENTUM_RANK")</f>
        <v>52</v>
      </c>
      <c r="N42" s="4" cm="1">
        <f t="array" ref="N42">_xll.BDP($A42,"UD_RISK_PERCENTILE")</f>
        <v>81.27</v>
      </c>
    </row>
    <row r="43" spans="1:14" x14ac:dyDescent="0.25">
      <c r="A43" t="str">
        <v>BAER SW Equity</v>
      </c>
      <c r="B43">
        <v>0.16398512952800001</v>
      </c>
      <c r="C43" s="3" t="str" cm="1">
        <f t="array" ref="C43">_xll.BDP(A43,"GICS_SECTOR_NAME")</f>
        <v>Financials</v>
      </c>
      <c r="D43" s="3" t="str" cm="1">
        <f t="array" ref="D43">_xll.BDP(A43,"GICS_INDUSTRY_NAME")</f>
        <v>Capital Markets</v>
      </c>
      <c r="E43" s="4" cm="1">
        <f t="array" ref="E43">_xll.BDP($A43,"UD_OVERALL_FACTOR_PERCENTILE")</f>
        <v>42.79</v>
      </c>
      <c r="F43" s="5" cm="1">
        <f t="array" ref="F43">IFERROR(_xll.BDP($A43,"UD_OPERATING_QUALITY_FP"),50)</f>
        <v>56.93</v>
      </c>
      <c r="G43" s="4" cm="1">
        <f t="array" ref="G43">_xll.BDP($A43,"UD_OPERATING_QUALITY_RANK")</f>
        <v>67</v>
      </c>
      <c r="H43" s="4" cm="1">
        <f t="array" ref="H43">_xll.BDP($A43,"UD_GROWTH_PERCENTILE")</f>
        <v>55.21</v>
      </c>
      <c r="I43" s="6" cm="1">
        <f t="array" ref="I43">_xll.BDP($A43,"UD_GROWTH_RANK")</f>
        <v>62</v>
      </c>
      <c r="J43" s="4" cm="1">
        <f t="array" ref="J43">_xll.BDP($A43,"UD_VALUATION_PERCENTILE")</f>
        <v>25.8</v>
      </c>
      <c r="K43" s="4" cm="1">
        <f t="array" ref="K43">_xll.BDP($A43,"UD_VALUATION_RANK")</f>
        <v>12</v>
      </c>
      <c r="L43" s="4" cm="1">
        <f t="array" ref="L43">_xll.BDP($A43,"UD_MOMENTUM_PERCENTILE")</f>
        <v>46.16</v>
      </c>
      <c r="M43" s="4" cm="1">
        <f t="array" ref="M43">_xll.BDP($A43,"UD_MOMENTUM_RANK")</f>
        <v>43</v>
      </c>
      <c r="N43" s="4" cm="1">
        <f t="array" ref="N43">_xll.BDP($A43,"UD_RISK_PERCENTILE")</f>
        <v>66.930000000000007</v>
      </c>
    </row>
    <row r="44" spans="1:14" x14ac:dyDescent="0.25">
      <c r="A44" t="str">
        <v>BALDB SS Equity</v>
      </c>
      <c r="B44">
        <v>3.6369803717999999E-2</v>
      </c>
      <c r="C44" s="3" t="str" cm="1">
        <f t="array" ref="C44">_xll.BDP(A44,"GICS_SECTOR_NAME")</f>
        <v>Real Estate</v>
      </c>
      <c r="D44" s="3" t="str" cm="1">
        <f t="array" ref="D44">_xll.BDP(A44,"GICS_INDUSTRY_NAME")</f>
        <v>Real Estate Management &amp; Devel</v>
      </c>
      <c r="E44" s="4" cm="1">
        <f t="array" ref="E44">_xll.BDP($A44,"UD_OVERALL_FACTOR_PERCENTILE")</f>
        <v>42.98</v>
      </c>
      <c r="F44" s="5" cm="1">
        <f t="array" ref="F44">IFERROR(_xll.BDP($A44,"UD_OPERATING_QUALITY_FP"),50)</f>
        <v>47.89</v>
      </c>
      <c r="G44" s="4" cm="1">
        <f t="array" ref="G44">_xll.BDP($A44,"UD_OPERATING_QUALITY_RANK")</f>
        <v>49</v>
      </c>
      <c r="H44" s="4" cm="1">
        <f t="array" ref="H44">_xll.BDP($A44,"UD_GROWTH_PERCENTILE")</f>
        <v>51.53</v>
      </c>
      <c r="I44" s="6" cm="1">
        <f t="array" ref="I44">_xll.BDP($A44,"UD_GROWTH_RANK")</f>
        <v>53</v>
      </c>
      <c r="J44" s="4" cm="1">
        <f t="array" ref="J44">_xll.BDP($A44,"UD_VALUATION_PERCENTILE")</f>
        <v>42.25</v>
      </c>
      <c r="K44" s="4" cm="1">
        <f t="array" ref="K44">_xll.BDP($A44,"UD_VALUATION_RANK")</f>
        <v>40</v>
      </c>
      <c r="L44" s="4" cm="1">
        <f t="array" ref="L44">_xll.BDP($A44,"UD_MOMENTUM_PERCENTILE")</f>
        <v>38.83</v>
      </c>
      <c r="M44" s="4" cm="1">
        <f t="array" ref="M44">_xll.BDP($A44,"UD_MOMENTUM_RANK")</f>
        <v>14</v>
      </c>
      <c r="N44" s="4" cm="1">
        <f t="array" ref="N44">_xll.BDP($A44,"UD_RISK_PERCENTILE")</f>
        <v>29.48</v>
      </c>
    </row>
    <row r="45" spans="1:14" x14ac:dyDescent="0.25">
      <c r="A45" t="str">
        <v>BALN SW Equity</v>
      </c>
      <c r="B45">
        <v>4.7673274442999999E-2</v>
      </c>
      <c r="C45" s="3" t="str" cm="1">
        <f t="array" ref="C45">_xll.BDP(A45,"GICS_SECTOR_NAME")</f>
        <v>Financials</v>
      </c>
      <c r="D45" s="3" t="str" cm="1">
        <f t="array" ref="D45">_xll.BDP(A45,"GICS_INDUSTRY_NAME")</f>
        <v>Insurance</v>
      </c>
      <c r="E45" s="4" cm="1">
        <f t="array" ref="E45">_xll.BDP($A45,"UD_OVERALL_FACTOR_PERCENTILE")</f>
        <v>44.27</v>
      </c>
      <c r="F45" s="5" cm="1">
        <f t="array" ref="F45">IFERROR(_xll.BDP($A45,"UD_OPERATING_QUALITY_FP"),50)</f>
        <v>47.21</v>
      </c>
      <c r="G45" s="4" cm="1">
        <f t="array" ref="G45">_xll.BDP($A45,"UD_OPERATING_QUALITY_RANK")</f>
        <v>28</v>
      </c>
      <c r="H45" s="4" cm="1">
        <f t="array" ref="H45">_xll.BDP($A45,"UD_GROWTH_PERCENTILE")</f>
        <v>62.29</v>
      </c>
      <c r="I45" s="6" cm="1">
        <f t="array" ref="I45">_xll.BDP($A45,"UD_GROWTH_RANK")</f>
        <v>78</v>
      </c>
      <c r="J45" s="4" cm="1">
        <f t="array" ref="J45">_xll.BDP($A45,"UD_VALUATION_PERCENTILE")</f>
        <v>39.57</v>
      </c>
      <c r="K45" s="4" cm="1">
        <f t="array" ref="K45">_xll.BDP($A45,"UD_VALUATION_RANK")</f>
        <v>37</v>
      </c>
      <c r="L45" s="4" cm="1">
        <f t="array" ref="L45">_xll.BDP($A45,"UD_MOMENTUM_PERCENTILE")</f>
        <v>46.18</v>
      </c>
      <c r="M45" s="4" cm="1">
        <f t="array" ref="M45">_xll.BDP($A45,"UD_MOMENTUM_RANK")</f>
        <v>24</v>
      </c>
      <c r="N45" s="4" cm="1">
        <f t="array" ref="N45">_xll.BDP($A45,"UD_RISK_PERCENTILE")</f>
        <v>83.91</v>
      </c>
    </row>
    <row r="46" spans="1:14" x14ac:dyDescent="0.25">
      <c r="A46" t="str">
        <v>BAMI IM Equity</v>
      </c>
      <c r="B46">
        <v>8.4227182826000002E-2</v>
      </c>
      <c r="C46" s="3" t="str" cm="1">
        <f t="array" ref="C46">_xll.BDP(A46,"GICS_SECTOR_NAME")</f>
        <v>Financials</v>
      </c>
      <c r="D46" s="3" t="str" cm="1">
        <f t="array" ref="D46">_xll.BDP(A46,"GICS_INDUSTRY_NAME")</f>
        <v>Banks</v>
      </c>
      <c r="E46" s="4" cm="1">
        <f t="array" ref="E46">_xll.BDP($A46,"UD_OVERALL_FACTOR_PERCENTILE")</f>
        <v>56.45</v>
      </c>
      <c r="F46" s="5" cm="1">
        <f t="array" ref="F46">IFERROR(_xll.BDP($A46,"UD_OPERATING_QUALITY_FP"),50)</f>
        <v>33.43</v>
      </c>
      <c r="G46" s="4" cm="1">
        <f t="array" ref="G46">_xll.BDP($A46,"UD_OPERATING_QUALITY_RANK")</f>
        <v>13</v>
      </c>
      <c r="H46" s="4" cm="1">
        <f t="array" ref="H46">_xll.BDP($A46,"UD_GROWTH_PERCENTILE")</f>
        <v>63.99</v>
      </c>
      <c r="I46" s="6" cm="1">
        <f t="array" ref="I46">_xll.BDP($A46,"UD_GROWTH_RANK")</f>
        <v>80</v>
      </c>
      <c r="J46" s="4" cm="1">
        <f t="array" ref="J46">_xll.BDP($A46,"UD_VALUATION_PERCENTILE")</f>
        <v>58.1</v>
      </c>
      <c r="K46" s="4" cm="1">
        <f t="array" ref="K46">_xll.BDP($A46,"UD_VALUATION_RANK")</f>
        <v>79</v>
      </c>
      <c r="L46" s="4" cm="1">
        <f t="array" ref="L46">_xll.BDP($A46,"UD_MOMENTUM_PERCENTILE")</f>
        <v>77.77</v>
      </c>
      <c r="M46" s="4" cm="1">
        <f t="array" ref="M46">_xll.BDP($A46,"UD_MOMENTUM_RANK")</f>
        <v>92</v>
      </c>
      <c r="N46" s="4" cm="1">
        <f t="array" ref="N46">_xll.BDP($A46,"UD_RISK_PERCENTILE")</f>
        <v>54.05</v>
      </c>
    </row>
    <row r="47" spans="1:14" x14ac:dyDescent="0.25">
      <c r="A47" t="str">
        <v>BARC LN Equity</v>
      </c>
      <c r="B47">
        <v>0.69633628491199995</v>
      </c>
      <c r="C47" s="3" t="str" cm="1">
        <f t="array" ref="C47">_xll.BDP(A47,"GICS_SECTOR_NAME")</f>
        <v>Financials</v>
      </c>
      <c r="D47" s="3" t="str" cm="1">
        <f t="array" ref="D47">_xll.BDP(A47,"GICS_INDUSTRY_NAME")</f>
        <v>Banks</v>
      </c>
      <c r="E47" s="4" cm="1">
        <f t="array" ref="E47">_xll.BDP($A47,"UD_OVERALL_FACTOR_PERCENTILE")</f>
        <v>49.77</v>
      </c>
      <c r="F47" s="5" cm="1">
        <f t="array" ref="F47">IFERROR(_xll.BDP($A47,"UD_OPERATING_QUALITY_FP"),50)</f>
        <v>35.9</v>
      </c>
      <c r="G47" s="4" cm="1">
        <f t="array" ref="G47">_xll.BDP($A47,"UD_OPERATING_QUALITY_RANK")</f>
        <v>16</v>
      </c>
      <c r="H47" s="4" cm="1">
        <f t="array" ref="H47">_xll.BDP($A47,"UD_GROWTH_PERCENTILE")</f>
        <v>65.91</v>
      </c>
      <c r="I47" s="6" cm="1">
        <f t="array" ref="I47">_xll.BDP($A47,"UD_GROWTH_RANK")</f>
        <v>83</v>
      </c>
      <c r="J47" s="4" cm="1">
        <f t="array" ref="J47">_xll.BDP($A47,"UD_VALUATION_PERCENTILE")</f>
        <v>55.56</v>
      </c>
      <c r="K47" s="4" cm="1">
        <f t="array" ref="K47">_xll.BDP($A47,"UD_VALUATION_RANK")</f>
        <v>70</v>
      </c>
      <c r="L47" s="4" cm="1">
        <f t="array" ref="L47">_xll.BDP($A47,"UD_MOMENTUM_PERCENTILE")</f>
        <v>57.67</v>
      </c>
      <c r="M47" s="4" cm="1">
        <f t="array" ref="M47">_xll.BDP($A47,"UD_MOMENTUM_RANK")</f>
        <v>62</v>
      </c>
      <c r="N47" s="4" cm="1">
        <f t="array" ref="N47">_xll.BDP($A47,"UD_RISK_PERCENTILE")</f>
        <v>39.869999999999997</v>
      </c>
    </row>
    <row r="48" spans="1:14" x14ac:dyDescent="0.25">
      <c r="A48" t="str">
        <v>BARN SW Equity</v>
      </c>
      <c r="B48">
        <v>3.8171482510999999E-2</v>
      </c>
      <c r="C48" s="3" t="str" cm="1">
        <f t="array" ref="C48">_xll.BDP(A48,"GICS_SECTOR_NAME")</f>
        <v>Consumer Staples</v>
      </c>
      <c r="D48" s="3" t="str" cm="1">
        <f t="array" ref="D48">_xll.BDP(A48,"GICS_INDUSTRY_NAME")</f>
        <v>Food Products</v>
      </c>
      <c r="E48" s="4" cm="1">
        <f t="array" ref="E48">_xll.BDP($A48,"UD_OVERALL_FACTOR_PERCENTILE")</f>
        <v>45.57</v>
      </c>
      <c r="F48" s="5" cm="1">
        <f t="array" ref="F48">IFERROR(_xll.BDP($A48,"UD_OPERATING_QUALITY_FP"),50)</f>
        <v>53.54</v>
      </c>
      <c r="G48" s="4" cm="1">
        <f t="array" ref="G48">_xll.BDP($A48,"UD_OPERATING_QUALITY_RANK")</f>
        <v>46</v>
      </c>
      <c r="H48" s="4" cm="1">
        <f t="array" ref="H48">_xll.BDP($A48,"UD_GROWTH_PERCENTILE")</f>
        <v>41.3</v>
      </c>
      <c r="I48" s="6" cm="1">
        <f t="array" ref="I48">_xll.BDP($A48,"UD_GROWTH_RANK")</f>
        <v>31</v>
      </c>
      <c r="J48" s="4" cm="1">
        <f t="array" ref="J48">_xll.BDP($A48,"UD_VALUATION_PERCENTILE")</f>
        <v>48.28</v>
      </c>
      <c r="K48" s="4" cm="1">
        <f t="array" ref="K48">_xll.BDP($A48,"UD_VALUATION_RANK")</f>
        <v>48</v>
      </c>
      <c r="L48" s="4" cm="1">
        <f t="array" ref="L48">_xll.BDP($A48,"UD_MOMENTUM_PERCENTILE")</f>
        <v>34.81</v>
      </c>
      <c r="M48" s="4" cm="1">
        <f t="array" ref="M48">_xll.BDP($A48,"UD_MOMENTUM_RANK")</f>
        <v>14</v>
      </c>
      <c r="N48" s="4" cm="1">
        <f t="array" ref="N48">_xll.BDP($A48,"UD_RISK_PERCENTILE")</f>
        <v>50.76</v>
      </c>
    </row>
    <row r="49" spans="1:14" x14ac:dyDescent="0.25">
      <c r="A49" t="str">
        <v>BAS GY Equity</v>
      </c>
      <c r="B49">
        <v>0.50995331104599995</v>
      </c>
      <c r="C49" s="3" t="str" cm="1">
        <f t="array" ref="C49">_xll.BDP(A49,"GICS_SECTOR_NAME")</f>
        <v>Materials</v>
      </c>
      <c r="D49" s="3" t="str" cm="1">
        <f t="array" ref="D49">_xll.BDP(A49,"GICS_INDUSTRY_NAME")</f>
        <v>Chemicals</v>
      </c>
      <c r="E49" s="4" cm="1">
        <f t="array" ref="E49">_xll.BDP($A49,"UD_OVERALL_FACTOR_PERCENTILE")</f>
        <v>49.93</v>
      </c>
      <c r="F49" s="5" cm="1">
        <f t="array" ref="F49">IFERROR(_xll.BDP($A49,"UD_OPERATING_QUALITY_FP"),50)</f>
        <v>36.46</v>
      </c>
      <c r="G49" s="4" cm="1">
        <f t="array" ref="G49">_xll.BDP($A49,"UD_OPERATING_QUALITY_RANK")</f>
        <v>24</v>
      </c>
      <c r="H49" s="4" cm="1">
        <f t="array" ref="H49">_xll.BDP($A49,"UD_GROWTH_PERCENTILE")</f>
        <v>31.24</v>
      </c>
      <c r="I49" s="6" cm="1">
        <f t="array" ref="I49">_xll.BDP($A49,"UD_GROWTH_RANK")</f>
        <v>10</v>
      </c>
      <c r="J49" s="4" cm="1">
        <f t="array" ref="J49">_xll.BDP($A49,"UD_VALUATION_PERCENTILE")</f>
        <v>60.49</v>
      </c>
      <c r="K49" s="4" cm="1">
        <f t="array" ref="K49">_xll.BDP($A49,"UD_VALUATION_RANK")</f>
        <v>70</v>
      </c>
      <c r="L49" s="4" cm="1">
        <f t="array" ref="L49">_xll.BDP($A49,"UD_MOMENTUM_PERCENTILE")</f>
        <v>52.51</v>
      </c>
      <c r="M49" s="4" cm="1">
        <f t="array" ref="M49">_xll.BDP($A49,"UD_MOMENTUM_RANK")</f>
        <v>62</v>
      </c>
      <c r="N49" s="4" cm="1">
        <f t="array" ref="N49">_xll.BDP($A49,"UD_RISK_PERCENTILE")</f>
        <v>48.63</v>
      </c>
    </row>
    <row r="50" spans="1:14" x14ac:dyDescent="0.25">
      <c r="A50" t="str">
        <v>BBVA SM Equity</v>
      </c>
      <c r="B50">
        <v>0.88743480765399996</v>
      </c>
      <c r="C50" s="3" t="str" cm="1">
        <f t="array" ref="C50">_xll.BDP(A50,"GICS_SECTOR_NAME")</f>
        <v>Financials</v>
      </c>
      <c r="D50" s="3" t="str" cm="1">
        <f t="array" ref="D50">_xll.BDP(A50,"GICS_INDUSTRY_NAME")</f>
        <v>Banks</v>
      </c>
      <c r="E50" s="4" cm="1">
        <f t="array" ref="E50">_xll.BDP($A50,"UD_OVERALL_FACTOR_PERCENTILE")</f>
        <v>61.68</v>
      </c>
      <c r="F50" s="5" cm="1">
        <f t="array" ref="F50">IFERROR(_xll.BDP($A50,"UD_OPERATING_QUALITY_FP"),50)</f>
        <v>56.02</v>
      </c>
      <c r="G50" s="4" cm="1">
        <f t="array" ref="G50">_xll.BDP($A50,"UD_OPERATING_QUALITY_RANK")</f>
        <v>64</v>
      </c>
      <c r="H50" s="4" cm="1">
        <f t="array" ref="H50">_xll.BDP($A50,"UD_GROWTH_PERCENTILE")</f>
        <v>52.38</v>
      </c>
      <c r="I50" s="6" cm="1">
        <f t="array" ref="I50">_xll.BDP($A50,"UD_GROWTH_RANK")</f>
        <v>55</v>
      </c>
      <c r="J50" s="4" cm="1">
        <f t="array" ref="J50">_xll.BDP($A50,"UD_VALUATION_PERCENTILE")</f>
        <v>54.55</v>
      </c>
      <c r="K50" s="4" cm="1">
        <f t="array" ref="K50">_xll.BDP($A50,"UD_VALUATION_RANK")</f>
        <v>67</v>
      </c>
      <c r="L50" s="4" cm="1">
        <f t="array" ref="L50">_xll.BDP($A50,"UD_MOMENTUM_PERCENTILE")</f>
        <v>74.680000000000007</v>
      </c>
      <c r="M50" s="4" cm="1">
        <f t="array" ref="M50">_xll.BDP($A50,"UD_MOMENTUM_RANK")</f>
        <v>88</v>
      </c>
      <c r="N50" s="4" cm="1">
        <f t="array" ref="N50">_xll.BDP($A50,"UD_RISK_PERCENTILE")</f>
        <v>26.3</v>
      </c>
    </row>
    <row r="51" spans="1:14" x14ac:dyDescent="0.25">
      <c r="A51" t="str">
        <v>BEI GY Equity</v>
      </c>
      <c r="B51">
        <v>9.7416596886000004E-2</v>
      </c>
      <c r="C51" s="3" t="str" cm="1">
        <f t="array" ref="C51">_xll.BDP(A51,"GICS_SECTOR_NAME")</f>
        <v>Consumer Staples</v>
      </c>
      <c r="D51" s="3" t="str" cm="1">
        <f t="array" ref="D51">_xll.BDP(A51,"GICS_INDUSTRY_NAME")</f>
        <v>Personal Care Products</v>
      </c>
      <c r="E51" s="4" cm="1">
        <f t="array" ref="E51">_xll.BDP($A51,"UD_OVERALL_FACTOR_PERCENTILE")</f>
        <v>41.31</v>
      </c>
      <c r="F51" s="5" cm="1">
        <f t="array" ref="F51">IFERROR(_xll.BDP($A51,"UD_OPERATING_QUALITY_FP"),50)</f>
        <v>54.9</v>
      </c>
      <c r="G51" s="4" cm="1">
        <f t="array" ref="G51">_xll.BDP($A51,"UD_OPERATING_QUALITY_RANK")</f>
        <v>54</v>
      </c>
      <c r="H51" s="4" cm="1">
        <f t="array" ref="H51">_xll.BDP($A51,"UD_GROWTH_PERCENTILE")</f>
        <v>49.42</v>
      </c>
      <c r="I51" s="6" cm="1">
        <f t="array" ref="I51">_xll.BDP($A51,"UD_GROWTH_RANK")</f>
        <v>47</v>
      </c>
      <c r="J51" s="4" cm="1">
        <f t="array" ref="J51">_xll.BDP($A51,"UD_VALUATION_PERCENTILE")</f>
        <v>39.58</v>
      </c>
      <c r="K51" s="4" cm="1">
        <f t="array" ref="K51">_xll.BDP($A51,"UD_VALUATION_RANK")</f>
        <v>29</v>
      </c>
      <c r="L51" s="4" cm="1">
        <f t="array" ref="L51">_xll.BDP($A51,"UD_MOMENTUM_PERCENTILE")</f>
        <v>29.5</v>
      </c>
      <c r="M51" s="4" cm="1">
        <f t="array" ref="M51">_xll.BDP($A51,"UD_MOMENTUM_RANK")</f>
        <v>9</v>
      </c>
      <c r="N51" s="4" cm="1">
        <f t="array" ref="N51">_xll.BDP($A51,"UD_RISK_PERCENTILE")</f>
        <v>82.67</v>
      </c>
    </row>
    <row r="52" spans="1:14" x14ac:dyDescent="0.25">
      <c r="A52" t="str">
        <v>BESI NA Equity</v>
      </c>
      <c r="B52">
        <v>7.6868518073999997E-2</v>
      </c>
      <c r="C52" s="3" t="str" cm="1">
        <f t="array" ref="C52">_xll.BDP(A52,"GICS_SECTOR_NAME")</f>
        <v>Information Technology</v>
      </c>
      <c r="D52" s="3" t="str" cm="1">
        <f t="array" ref="D52">_xll.BDP(A52,"GICS_INDUSTRY_NAME")</f>
        <v>Semiconductors &amp; Semiconductor</v>
      </c>
      <c r="E52" s="4" cm="1">
        <f t="array" ref="E52">_xll.BDP($A52,"UD_OVERALL_FACTOR_PERCENTILE")</f>
        <v>31.78</v>
      </c>
      <c r="F52" s="5" cm="1">
        <f t="array" ref="F52">IFERROR(_xll.BDP($A52,"UD_OPERATING_QUALITY_FP"),50)</f>
        <v>53.19</v>
      </c>
      <c r="G52" s="4" cm="1">
        <f t="array" ref="G52">_xll.BDP($A52,"UD_OPERATING_QUALITY_RANK")</f>
        <v>46</v>
      </c>
      <c r="H52" s="4" cm="1">
        <f t="array" ref="H52">_xll.BDP($A52,"UD_GROWTH_PERCENTILE")</f>
        <v>56.67</v>
      </c>
      <c r="I52" s="6" cm="1">
        <f t="array" ref="I52">_xll.BDP($A52,"UD_GROWTH_RANK")</f>
        <v>65</v>
      </c>
      <c r="J52" s="4" cm="1">
        <f t="array" ref="J52">_xll.BDP($A52,"UD_VALUATION_PERCENTILE")</f>
        <v>15.31</v>
      </c>
      <c r="K52" s="4" cm="1">
        <f t="array" ref="K52">_xll.BDP($A52,"UD_VALUATION_RANK")</f>
        <v>3</v>
      </c>
      <c r="L52" s="4" cm="1">
        <f t="array" ref="L52">_xll.BDP($A52,"UD_MOMENTUM_PERCENTILE")</f>
        <v>27.35</v>
      </c>
      <c r="M52" s="4" cm="1">
        <f t="array" ref="M52">_xll.BDP($A52,"UD_MOMENTUM_RANK")</f>
        <v>16</v>
      </c>
      <c r="N52" s="4" cm="1">
        <f t="array" ref="N52">_xll.BDP($A52,"UD_RISK_PERCENTILE")</f>
        <v>12.8</v>
      </c>
    </row>
    <row r="53" spans="1:14" x14ac:dyDescent="0.25">
      <c r="A53" t="str">
        <v>BIM FP Equity</v>
      </c>
      <c r="B53">
        <v>1.8121788683999999E-2</v>
      </c>
      <c r="C53" s="3" t="str" cm="1">
        <f t="array" ref="C53">_xll.BDP(A53,"GICS_SECTOR_NAME")</f>
        <v>Health Care</v>
      </c>
      <c r="D53" s="3" t="str" cm="1">
        <f t="array" ref="D53">_xll.BDP(A53,"GICS_INDUSTRY_NAME")</f>
        <v>Health Care Equipment &amp; Suppli</v>
      </c>
      <c r="E53" s="4" cm="1">
        <f t="array" ref="E53">_xll.BDP($A53,"UD_OVERALL_FACTOR_PERCENTILE")</f>
        <v>51.53</v>
      </c>
      <c r="F53" s="5" cm="1">
        <f t="array" ref="F53">IFERROR(_xll.BDP($A53,"UD_OPERATING_QUALITY_FP"),50)</f>
        <v>48.06</v>
      </c>
      <c r="G53" s="4" cm="1">
        <f t="array" ref="G53">_xll.BDP($A53,"UD_OPERATING_QUALITY_RANK")</f>
        <v>35</v>
      </c>
      <c r="H53" s="4" cm="1">
        <f t="array" ref="H53">_xll.BDP($A53,"UD_GROWTH_PERCENTILE")</f>
        <v>58.61</v>
      </c>
      <c r="I53" s="6" cm="1">
        <f t="array" ref="I53">_xll.BDP($A53,"UD_GROWTH_RANK")</f>
        <v>70</v>
      </c>
      <c r="J53" s="4" cm="1">
        <f t="array" ref="J53">_xll.BDP($A53,"UD_VALUATION_PERCENTILE")</f>
        <v>50.61</v>
      </c>
      <c r="K53" s="4" cm="1">
        <f t="array" ref="K53">_xll.BDP($A53,"UD_VALUATION_RANK")</f>
        <v>54</v>
      </c>
      <c r="L53" s="4" cm="1">
        <f t="array" ref="L53">_xll.BDP($A53,"UD_MOMENTUM_PERCENTILE")</f>
        <v>55.95</v>
      </c>
      <c r="M53" s="4" cm="1">
        <f t="array" ref="M53">_xll.BDP($A53,"UD_MOMENTUM_RANK")</f>
        <v>68</v>
      </c>
      <c r="N53" s="4" cm="1">
        <f t="array" ref="N53">_xll.BDP($A53,"UD_RISK_PERCENTILE")</f>
        <v>82.97</v>
      </c>
    </row>
    <row r="54" spans="1:14" x14ac:dyDescent="0.25">
      <c r="A54" t="str">
        <v>BIRG ID Equity</v>
      </c>
      <c r="B54">
        <v>0.138030711655</v>
      </c>
      <c r="C54" s="3" t="str" cm="1">
        <f t="array" ref="C54">_xll.BDP(A54,"GICS_SECTOR_NAME")</f>
        <v>Financials</v>
      </c>
      <c r="D54" s="3" t="str" cm="1">
        <f t="array" ref="D54">_xll.BDP(A54,"GICS_INDUSTRY_NAME")</f>
        <v>Banks</v>
      </c>
      <c r="E54" s="4" cm="1">
        <f t="array" ref="E54">_xll.BDP($A54,"UD_OVERALL_FACTOR_PERCENTILE")</f>
        <v>45.8</v>
      </c>
      <c r="F54" s="5" cm="1">
        <f t="array" ref="F54">IFERROR(_xll.BDP($A54,"UD_OPERATING_QUALITY_FP"),50)</f>
        <v>42.9</v>
      </c>
      <c r="G54" s="4" cm="1">
        <f t="array" ref="G54">_xll.BDP($A54,"UD_OPERATING_QUALITY_RANK")</f>
        <v>31</v>
      </c>
      <c r="H54" s="4" cm="1">
        <f t="array" ref="H54">_xll.BDP($A54,"UD_GROWTH_PERCENTILE")</f>
        <v>50.63</v>
      </c>
      <c r="I54" s="6" cm="1">
        <f t="array" ref="I54">_xll.BDP($A54,"UD_GROWTH_RANK")</f>
        <v>51</v>
      </c>
      <c r="J54" s="4" cm="1">
        <f t="array" ref="J54">_xll.BDP($A54,"UD_VALUATION_PERCENTILE")</f>
        <v>52.61</v>
      </c>
      <c r="K54" s="4" cm="1">
        <f t="array" ref="K54">_xll.BDP($A54,"UD_VALUATION_RANK")</f>
        <v>62</v>
      </c>
      <c r="L54" s="4" cm="1">
        <f t="array" ref="L54">_xll.BDP($A54,"UD_MOMENTUM_PERCENTILE")</f>
        <v>41.7</v>
      </c>
      <c r="M54" s="4" cm="1">
        <f t="array" ref="M54">_xll.BDP($A54,"UD_MOMENTUM_RANK")</f>
        <v>33</v>
      </c>
      <c r="N54" s="4" cm="1">
        <f t="array" ref="N54">_xll.BDP($A54,"UD_RISK_PERCENTILE")</f>
        <v>49.93</v>
      </c>
    </row>
    <row r="55" spans="1:14" x14ac:dyDescent="0.25">
      <c r="A55" t="str">
        <v>BKG LN Equity</v>
      </c>
      <c r="B55">
        <v>9.7949504739000007E-2</v>
      </c>
      <c r="C55" s="3" t="str" cm="1">
        <f t="array" ref="C55">_xll.BDP(A55,"GICS_SECTOR_NAME")</f>
        <v>Consumer Discretionary</v>
      </c>
      <c r="D55" s="3" t="str" cm="1">
        <f t="array" ref="D55">_xll.BDP(A55,"GICS_INDUSTRY_NAME")</f>
        <v>Household Durables</v>
      </c>
      <c r="E55" s="4" cm="1">
        <f t="array" ref="E55">_xll.BDP($A55,"UD_OVERALL_FACTOR_PERCENTILE")</f>
        <v>59.05</v>
      </c>
      <c r="F55" s="5" cm="1">
        <f t="array" ref="F55">IFERROR(_xll.BDP($A55,"UD_OPERATING_QUALITY_FP"),50)</f>
        <v>60.84</v>
      </c>
      <c r="G55" s="4" cm="1">
        <f t="array" ref="G55">_xll.BDP($A55,"UD_OPERATING_QUALITY_RANK")</f>
        <v>64</v>
      </c>
      <c r="H55" s="4" cm="1">
        <f t="array" ref="H55">_xll.BDP($A55,"UD_GROWTH_PERCENTILE")</f>
        <v>34.18</v>
      </c>
      <c r="I55" s="6" cm="1">
        <f t="array" ref="I55">_xll.BDP($A55,"UD_GROWTH_RANK")</f>
        <v>15</v>
      </c>
      <c r="J55" s="4" cm="1">
        <f t="array" ref="J55">_xll.BDP($A55,"UD_VALUATION_PERCENTILE")</f>
        <v>66.040000000000006</v>
      </c>
      <c r="K55" s="4" cm="1">
        <f t="array" ref="K55">_xll.BDP($A55,"UD_VALUATION_RANK")</f>
        <v>77</v>
      </c>
      <c r="L55" s="4" cm="1">
        <f t="array" ref="L55">_xll.BDP($A55,"UD_MOMENTUM_PERCENTILE")</f>
        <v>50.06</v>
      </c>
      <c r="M55" s="4" cm="1">
        <f t="array" ref="M55">_xll.BDP($A55,"UD_MOMENTUM_RANK")</f>
        <v>55</v>
      </c>
      <c r="N55" s="4" cm="1">
        <f t="array" ref="N55">_xll.BDP($A55,"UD_RISK_PERCENTILE")</f>
        <v>40.020000000000003</v>
      </c>
    </row>
    <row r="56" spans="1:14" x14ac:dyDescent="0.25">
      <c r="A56" t="str">
        <v>BMW GY Equity</v>
      </c>
      <c r="B56">
        <v>0.46873126783000002</v>
      </c>
      <c r="C56" s="3" t="str" cm="1">
        <f t="array" ref="C56">_xll.BDP(A56,"GICS_SECTOR_NAME")</f>
        <v>Consumer Discretionary</v>
      </c>
      <c r="D56" s="3" t="str" cm="1">
        <f t="array" ref="D56">_xll.BDP(A56,"GICS_INDUSTRY_NAME")</f>
        <v>Automobiles</v>
      </c>
      <c r="E56" s="4" cm="1">
        <f t="array" ref="E56">_xll.BDP($A56,"UD_OVERALL_FACTOR_PERCENTILE")</f>
        <v>64.12</v>
      </c>
      <c r="F56" s="5" cm="1">
        <f t="array" ref="F56">IFERROR(_xll.BDP($A56,"UD_OPERATING_QUALITY_FP"),50)</f>
        <v>48.57</v>
      </c>
      <c r="G56" s="4" cm="1">
        <f t="array" ref="G56">_xll.BDP($A56,"UD_OPERATING_QUALITY_RANK")</f>
        <v>35</v>
      </c>
      <c r="H56" s="4" cm="1">
        <f t="array" ref="H56">_xll.BDP($A56,"UD_GROWTH_PERCENTILE")</f>
        <v>32.21</v>
      </c>
      <c r="I56" s="6" cm="1">
        <f t="array" ref="I56">_xll.BDP($A56,"UD_GROWTH_RANK")</f>
        <v>12</v>
      </c>
      <c r="J56" s="4" cm="1">
        <f t="array" ref="J56">_xll.BDP($A56,"UD_VALUATION_PERCENTILE")</f>
        <v>87.43</v>
      </c>
      <c r="K56" s="4" cm="1">
        <f t="array" ref="K56">_xll.BDP($A56,"UD_VALUATION_RANK")</f>
        <v>97</v>
      </c>
      <c r="L56" s="4" cm="1">
        <f t="array" ref="L56">_xll.BDP($A56,"UD_MOMENTUM_PERCENTILE")</f>
        <v>55.64</v>
      </c>
      <c r="M56" s="4" cm="1">
        <f t="array" ref="M56">_xll.BDP($A56,"UD_MOMENTUM_RANK")</f>
        <v>67</v>
      </c>
      <c r="N56" s="4" cm="1">
        <f t="array" ref="N56">_xll.BDP($A56,"UD_RISK_PERCENTILE")</f>
        <v>53.74</v>
      </c>
    </row>
    <row r="57" spans="1:14" x14ac:dyDescent="0.25">
      <c r="A57" t="str">
        <v>BN FP Equity</v>
      </c>
      <c r="B57">
        <v>0.51548666573699997</v>
      </c>
      <c r="C57" s="3" t="str" cm="1">
        <f t="array" ref="C57">_xll.BDP(A57,"GICS_SECTOR_NAME")</f>
        <v>Consumer Staples</v>
      </c>
      <c r="D57" s="3" t="str" cm="1">
        <f t="array" ref="D57">_xll.BDP(A57,"GICS_INDUSTRY_NAME")</f>
        <v>Food Products</v>
      </c>
      <c r="E57" s="4" cm="1">
        <f t="array" ref="E57">_xll.BDP($A57,"UD_OVERALL_FACTOR_PERCENTILE")</f>
        <v>51.8</v>
      </c>
      <c r="F57" s="5" cm="1">
        <f t="array" ref="F57">IFERROR(_xll.BDP($A57,"UD_OPERATING_QUALITY_FP"),50)</f>
        <v>64.260000000000005</v>
      </c>
      <c r="G57" s="4" cm="1">
        <f t="array" ref="G57">_xll.BDP($A57,"UD_OPERATING_QUALITY_RANK")</f>
        <v>66</v>
      </c>
      <c r="H57" s="4" cm="1">
        <f t="array" ref="H57">_xll.BDP($A57,"UD_GROWTH_PERCENTILE")</f>
        <v>35.549999999999997</v>
      </c>
      <c r="I57" s="6" cm="1">
        <f t="array" ref="I57">_xll.BDP($A57,"UD_GROWTH_RANK")</f>
        <v>18</v>
      </c>
      <c r="J57" s="4" cm="1">
        <f t="array" ref="J57">_xll.BDP($A57,"UD_VALUATION_PERCENTILE")</f>
        <v>30.24</v>
      </c>
      <c r="K57" s="4" cm="1">
        <f t="array" ref="K57">_xll.BDP($A57,"UD_VALUATION_RANK")</f>
        <v>14</v>
      </c>
      <c r="L57" s="4" cm="1">
        <f t="array" ref="L57">_xll.BDP($A57,"UD_MOMENTUM_PERCENTILE")</f>
        <v>61.57</v>
      </c>
      <c r="M57" s="4" cm="1">
        <f t="array" ref="M57">_xll.BDP($A57,"UD_MOMENTUM_RANK")</f>
        <v>86</v>
      </c>
      <c r="N57" s="4" cm="1">
        <f t="array" ref="N57">_xll.BDP($A57,"UD_RISK_PERCENTILE")</f>
        <v>85.86</v>
      </c>
    </row>
    <row r="58" spans="1:14" x14ac:dyDescent="0.25">
      <c r="A58" t="str">
        <v>BNP FP Equity</v>
      </c>
      <c r="B58">
        <v>0.78187644242599996</v>
      </c>
      <c r="C58" s="3" t="str" cm="1">
        <f t="array" ref="C58">_xll.BDP(A58,"GICS_SECTOR_NAME")</f>
        <v>Financials</v>
      </c>
      <c r="D58" s="3" t="str" cm="1">
        <f t="array" ref="D58">_xll.BDP(A58,"GICS_INDUSTRY_NAME")</f>
        <v>Banks</v>
      </c>
      <c r="E58" s="4" cm="1">
        <f t="array" ref="E58">_xll.BDP($A58,"UD_OVERALL_FACTOR_PERCENTILE")</f>
        <v>55.85</v>
      </c>
      <c r="F58" s="5" cm="1">
        <f t="array" ref="F58">IFERROR(_xll.BDP($A58,"UD_OPERATING_QUALITY_FP"),50)</f>
        <v>42.8</v>
      </c>
      <c r="G58" s="4" cm="1">
        <f t="array" ref="G58">_xll.BDP($A58,"UD_OPERATING_QUALITY_RANK")</f>
        <v>29</v>
      </c>
      <c r="H58" s="4" cm="1">
        <f t="array" ref="H58">_xll.BDP($A58,"UD_GROWTH_PERCENTILE")</f>
        <v>63.09</v>
      </c>
      <c r="I58" s="6" cm="1">
        <f t="array" ref="I58">_xll.BDP($A58,"UD_GROWTH_RANK")</f>
        <v>79</v>
      </c>
      <c r="J58" s="4" cm="1">
        <f t="array" ref="J58">_xll.BDP($A58,"UD_VALUATION_PERCENTILE")</f>
        <v>76.58</v>
      </c>
      <c r="K58" s="4" cm="1">
        <f t="array" ref="K58">_xll.BDP($A58,"UD_VALUATION_RANK")</f>
        <v>93</v>
      </c>
      <c r="L58" s="4" cm="1">
        <f t="array" ref="L58">_xll.BDP($A58,"UD_MOMENTUM_PERCENTILE")</f>
        <v>47.53</v>
      </c>
      <c r="M58" s="4" cm="1">
        <f t="array" ref="M58">_xll.BDP($A58,"UD_MOMENTUM_RANK")</f>
        <v>47</v>
      </c>
      <c r="N58" s="4" cm="1">
        <f t="array" ref="N58">_xll.BDP($A58,"UD_RISK_PERCENTILE")</f>
        <v>36.32</v>
      </c>
    </row>
    <row r="59" spans="1:14" x14ac:dyDescent="0.25">
      <c r="A59" t="str">
        <v>BNR GY Equity</v>
      </c>
      <c r="B59">
        <v>0.161792334663</v>
      </c>
      <c r="C59" s="3" t="str" cm="1">
        <f t="array" ref="C59">_xll.BDP(A59,"GICS_SECTOR_NAME")</f>
        <v>Industrials</v>
      </c>
      <c r="D59" s="3" t="str" cm="1">
        <f t="array" ref="D59">_xll.BDP(A59,"GICS_INDUSTRY_NAME")</f>
        <v>Trading Companies &amp; Distributo</v>
      </c>
      <c r="E59" s="4" cm="1">
        <f t="array" ref="E59">_xll.BDP($A59,"UD_OVERALL_FACTOR_PERCENTILE")</f>
        <v>45.76</v>
      </c>
      <c r="F59" s="5" cm="1">
        <f t="array" ref="F59">IFERROR(_xll.BDP($A59,"UD_OPERATING_QUALITY_FP"),50)</f>
        <v>64.44</v>
      </c>
      <c r="G59" s="4" cm="1">
        <f t="array" ref="G59">_xll.BDP($A59,"UD_OPERATING_QUALITY_RANK")</f>
        <v>62</v>
      </c>
      <c r="H59" s="4" cm="1">
        <f t="array" ref="H59">_xll.BDP($A59,"UD_GROWTH_PERCENTILE")</f>
        <v>43.8</v>
      </c>
      <c r="I59" s="6" cm="1">
        <f t="array" ref="I59">_xll.BDP($A59,"UD_GROWTH_RANK")</f>
        <v>36</v>
      </c>
      <c r="J59" s="4" cm="1">
        <f t="array" ref="J59">_xll.BDP($A59,"UD_VALUATION_PERCENTILE")</f>
        <v>58.19</v>
      </c>
      <c r="K59" s="4" cm="1">
        <f t="array" ref="K59">_xll.BDP($A59,"UD_VALUATION_RANK")</f>
        <v>72</v>
      </c>
      <c r="L59" s="4" cm="1">
        <f t="array" ref="L59">_xll.BDP($A59,"UD_MOMENTUM_PERCENTILE")</f>
        <v>14.27</v>
      </c>
      <c r="M59" s="4" cm="1">
        <f t="array" ref="M59">_xll.BDP($A59,"UD_MOMENTUM_RANK")</f>
        <v>2</v>
      </c>
      <c r="N59" s="4" cm="1">
        <f t="array" ref="N59">_xll.BDP($A59,"UD_RISK_PERCENTILE")</f>
        <v>73.56</v>
      </c>
    </row>
    <row r="60" spans="1:14" x14ac:dyDescent="0.25">
      <c r="A60" t="str">
        <v>BNZL LN Equity</v>
      </c>
      <c r="B60">
        <v>0.188777857656</v>
      </c>
      <c r="C60" s="3" t="str" cm="1">
        <f t="array" ref="C60">_xll.BDP(A60,"GICS_SECTOR_NAME")</f>
        <v>Industrials</v>
      </c>
      <c r="D60" s="3" t="str" cm="1">
        <f t="array" ref="D60">_xll.BDP(A60,"GICS_INDUSTRY_NAME")</f>
        <v>Trading Companies &amp; Distributo</v>
      </c>
      <c r="E60" s="4" cm="1">
        <f t="array" ref="E60">_xll.BDP($A60,"UD_OVERALL_FACTOR_PERCENTILE")</f>
        <v>60.89</v>
      </c>
      <c r="F60" s="5" cm="1">
        <f t="array" ref="F60">IFERROR(_xll.BDP($A60,"UD_OPERATING_QUALITY_FP"),50)</f>
        <v>82.89</v>
      </c>
      <c r="G60" s="4" cm="1">
        <f t="array" ref="G60">_xll.BDP($A60,"UD_OPERATING_QUALITY_RANK")</f>
        <v>93</v>
      </c>
      <c r="H60" s="4" cm="1">
        <f t="array" ref="H60">_xll.BDP($A60,"UD_GROWTH_PERCENTILE")</f>
        <v>58.88</v>
      </c>
      <c r="I60" s="6" cm="1">
        <f t="array" ref="I60">_xll.BDP($A60,"UD_GROWTH_RANK")</f>
        <v>71</v>
      </c>
      <c r="J60" s="4" cm="1">
        <f t="array" ref="J60">_xll.BDP($A60,"UD_VALUATION_PERCENTILE")</f>
        <v>57.01</v>
      </c>
      <c r="K60" s="4" cm="1">
        <f t="array" ref="K60">_xll.BDP($A60,"UD_VALUATION_RANK")</f>
        <v>69</v>
      </c>
      <c r="L60" s="4" cm="1">
        <f t="array" ref="L60">_xll.BDP($A60,"UD_MOMENTUM_PERCENTILE")</f>
        <v>42.88</v>
      </c>
      <c r="M60" s="4" cm="1">
        <f t="array" ref="M60">_xll.BDP($A60,"UD_MOMENTUM_RANK")</f>
        <v>35</v>
      </c>
      <c r="N60" s="4" cm="1">
        <f t="array" ref="N60">_xll.BDP($A60,"UD_RISK_PERCENTILE")</f>
        <v>84.41</v>
      </c>
    </row>
    <row r="61" spans="1:14" x14ac:dyDescent="0.25">
      <c r="A61" t="str">
        <v>BOL SS Equity</v>
      </c>
      <c r="B61">
        <v>0.34001169951299998</v>
      </c>
      <c r="C61" s="3" t="str" cm="1">
        <f t="array" ref="C61">_xll.BDP(A61,"GICS_SECTOR_NAME")</f>
        <v>Materials</v>
      </c>
      <c r="D61" s="3" t="str" cm="1">
        <f t="array" ref="D61">_xll.BDP(A61,"GICS_INDUSTRY_NAME")</f>
        <v>Metals &amp; Mining</v>
      </c>
      <c r="E61" s="4" cm="1">
        <f t="array" ref="E61">_xll.BDP($A61,"UD_OVERALL_FACTOR_PERCENTILE")</f>
        <v>46.53</v>
      </c>
      <c r="F61" s="5" cm="1">
        <f t="array" ref="F61">IFERROR(_xll.BDP($A61,"UD_OPERATING_QUALITY_FP"),50)</f>
        <v>56.71</v>
      </c>
      <c r="G61" s="4" cm="1">
        <f t="array" ref="G61">_xll.BDP($A61,"UD_OPERATING_QUALITY_RANK")</f>
        <v>64</v>
      </c>
      <c r="H61" s="4" cm="1">
        <f t="array" ref="H61">_xll.BDP($A61,"UD_GROWTH_PERCENTILE")</f>
        <v>46.37</v>
      </c>
      <c r="I61" s="6" cm="1">
        <f t="array" ref="I61">_xll.BDP($A61,"UD_GROWTH_RANK")</f>
        <v>41</v>
      </c>
      <c r="J61" s="4" cm="1">
        <f t="array" ref="J61">_xll.BDP($A61,"UD_VALUATION_PERCENTILE")</f>
        <v>42.9</v>
      </c>
      <c r="K61" s="4" cm="1">
        <f t="array" ref="K61">_xll.BDP($A61,"UD_VALUATION_RANK")</f>
        <v>32</v>
      </c>
      <c r="L61" s="4" cm="1">
        <f t="array" ref="L61">_xll.BDP($A61,"UD_MOMENTUM_PERCENTILE")</f>
        <v>40.090000000000003</v>
      </c>
      <c r="M61" s="4" cm="1">
        <f t="array" ref="M61">_xll.BDP($A61,"UD_MOMENTUM_RANK")</f>
        <v>31</v>
      </c>
      <c r="N61" s="4" cm="1">
        <f t="array" ref="N61">_xll.BDP($A61,"UD_RISK_PERCENTILE")</f>
        <v>44.07</v>
      </c>
    </row>
    <row r="62" spans="1:14" x14ac:dyDescent="0.25">
      <c r="A62" t="str">
        <v>BPE IM Equity</v>
      </c>
      <c r="B62">
        <v>2.770497057E-3</v>
      </c>
      <c r="C62" s="3" t="str" cm="1">
        <f t="array" ref="C62">_xll.BDP(A62,"GICS_SECTOR_NAME")</f>
        <v>Financials</v>
      </c>
      <c r="D62" s="3" t="str" cm="1">
        <f t="array" ref="D62">_xll.BDP(A62,"GICS_INDUSTRY_NAME")</f>
        <v>Banks</v>
      </c>
      <c r="E62" s="4" cm="1">
        <f t="array" ref="E62">_xll.BDP($A62,"UD_OVERALL_FACTOR_PERCENTILE")</f>
        <v>51.35</v>
      </c>
      <c r="F62" s="5" cm="1">
        <f t="array" ref="F62">IFERROR(_xll.BDP($A62,"UD_OPERATING_QUALITY_FP"),50)</f>
        <v>41.64</v>
      </c>
      <c r="G62" s="4" cm="1">
        <f t="array" ref="G62">_xll.BDP($A62,"UD_OPERATING_QUALITY_RANK")</f>
        <v>27</v>
      </c>
      <c r="H62" s="4" cm="1">
        <f t="array" ref="H62">_xll.BDP($A62,"UD_GROWTH_PERCENTILE")</f>
        <v>49.38</v>
      </c>
      <c r="I62" s="6" cm="1">
        <f t="array" ref="I62">_xll.BDP($A62,"UD_GROWTH_RANK")</f>
        <v>47</v>
      </c>
      <c r="J62" s="4" cm="1">
        <f t="array" ref="J62">_xll.BDP($A62,"UD_VALUATION_PERCENTILE")</f>
        <v>63.33</v>
      </c>
      <c r="K62" s="4" cm="1">
        <f t="array" ref="K62">_xll.BDP($A62,"UD_VALUATION_RANK")</f>
        <v>87</v>
      </c>
      <c r="L62" s="4" cm="1">
        <f t="array" ref="L62">_xll.BDP($A62,"UD_MOMENTUM_PERCENTILE")</f>
        <v>48.72</v>
      </c>
      <c r="M62" s="4" cm="1">
        <f t="array" ref="M62">_xll.BDP($A62,"UD_MOMENTUM_RANK")</f>
        <v>52</v>
      </c>
      <c r="N62" s="4" cm="1">
        <f t="array" ref="N62">_xll.BDP($A62,"UD_RISK_PERCENTILE")</f>
        <v>25.51</v>
      </c>
    </row>
    <row r="63" spans="1:14" x14ac:dyDescent="0.25">
      <c r="A63" t="str">
        <v>BT/A LN Equity</v>
      </c>
      <c r="B63">
        <v>0.20535901886899999</v>
      </c>
      <c r="C63" s="3" t="str" cm="1">
        <f t="array" ref="C63">_xll.BDP(A63,"GICS_SECTOR_NAME")</f>
        <v>Communication Services</v>
      </c>
      <c r="D63" s="3" t="str" cm="1">
        <f t="array" ref="D63">_xll.BDP(A63,"GICS_INDUSTRY_NAME")</f>
        <v>Diversified Telecommunication</v>
      </c>
      <c r="E63" s="4" cm="1">
        <f t="array" ref="E63">_xll.BDP($A63,"UD_OVERALL_FACTOR_PERCENTILE")</f>
        <v>58.55</v>
      </c>
      <c r="F63" s="5" cm="1">
        <f t="array" ref="F63">IFERROR(_xll.BDP($A63,"UD_OPERATING_QUALITY_FP"),50)</f>
        <v>51.45</v>
      </c>
      <c r="G63" s="4" cm="1">
        <f t="array" ref="G63">_xll.BDP($A63,"UD_OPERATING_QUALITY_RANK")</f>
        <v>43</v>
      </c>
      <c r="H63" s="4" cm="1">
        <f t="array" ref="H63">_xll.BDP($A63,"UD_GROWTH_PERCENTILE")</f>
        <v>30.78</v>
      </c>
      <c r="I63" s="6" cm="1">
        <f t="array" ref="I63">_xll.BDP($A63,"UD_GROWTH_RANK")</f>
        <v>10</v>
      </c>
      <c r="J63" s="4" cm="1">
        <f t="array" ref="J63">_xll.BDP($A63,"UD_VALUATION_PERCENTILE")</f>
        <v>62.03</v>
      </c>
      <c r="K63" s="4" cm="1">
        <f t="array" ref="K63">_xll.BDP($A63,"UD_VALUATION_RANK")</f>
        <v>71</v>
      </c>
      <c r="L63" s="4" cm="1">
        <f t="array" ref="L63">_xll.BDP($A63,"UD_MOMENTUM_PERCENTILE")</f>
        <v>62.05</v>
      </c>
      <c r="M63" s="4" cm="1">
        <f t="array" ref="M63">_xll.BDP($A63,"UD_MOMENTUM_RANK")</f>
        <v>84</v>
      </c>
      <c r="N63" s="4" cm="1">
        <f t="array" ref="N63">_xll.BDP($A63,"UD_RISK_PERCENTILE")</f>
        <v>48.53</v>
      </c>
    </row>
    <row r="64" spans="1:14" x14ac:dyDescent="0.25">
      <c r="A64" t="str">
        <v>BTRW LN Equity</v>
      </c>
      <c r="B64">
        <v>6.3285839258000007E-2</v>
      </c>
      <c r="C64" s="3" t="str" cm="1">
        <f t="array" ref="C64">_xll.BDP(A64,"GICS_SECTOR_NAME")</f>
        <v>Consumer Discretionary</v>
      </c>
      <c r="D64" s="3" t="str" cm="1">
        <f t="array" ref="D64">_xll.BDP(A64,"GICS_INDUSTRY_NAME")</f>
        <v>Household Durables</v>
      </c>
      <c r="E64" s="4" cm="1">
        <f t="array" ref="E64">_xll.BDP($A64,"UD_OVERALL_FACTOR_PERCENTILE")</f>
        <v>49.47</v>
      </c>
      <c r="F64" s="5" cm="1">
        <f t="array" ref="F64">IFERROR(_xll.BDP($A64,"UD_OPERATING_QUALITY_FP"),50)</f>
        <v>44.99</v>
      </c>
      <c r="G64" s="4" cm="1">
        <f t="array" ref="G64">_xll.BDP($A64,"UD_OPERATING_QUALITY_RANK")</f>
        <v>24</v>
      </c>
      <c r="H64" s="4" cm="1">
        <f t="array" ref="H64">_xll.BDP($A64,"UD_GROWTH_PERCENTILE")</f>
        <v>33.01</v>
      </c>
      <c r="I64" s="6" cm="1">
        <f t="array" ref="I64">_xll.BDP($A64,"UD_GROWTH_RANK")</f>
        <v>13</v>
      </c>
      <c r="J64" s="4" cm="1">
        <f t="array" ref="J64">_xll.BDP($A64,"UD_VALUATION_PERCENTILE")</f>
        <v>71.62</v>
      </c>
      <c r="K64" s="4" cm="1">
        <f t="array" ref="K64">_xll.BDP($A64,"UD_VALUATION_RANK")</f>
        <v>88</v>
      </c>
      <c r="L64" s="4" cm="1">
        <f t="array" ref="L64">_xll.BDP($A64,"UD_MOMENTUM_PERCENTILE")</f>
        <v>31.14</v>
      </c>
      <c r="M64" s="4" cm="1">
        <f t="array" ref="M64">_xll.BDP($A64,"UD_MOMENTUM_RANK")</f>
        <v>15</v>
      </c>
      <c r="N64" s="4" cm="1">
        <f t="array" ref="N64">_xll.BDP($A64,"UD_RISK_PERCENTILE")</f>
        <v>27.2</v>
      </c>
    </row>
    <row r="65" spans="1:14" x14ac:dyDescent="0.25">
      <c r="A65" t="str">
        <v>BVI FP Equity</v>
      </c>
      <c r="B65">
        <v>5.4110242841000002E-2</v>
      </c>
      <c r="C65" s="3" t="str" cm="1">
        <f t="array" ref="C65">_xll.BDP(A65,"GICS_SECTOR_NAME")</f>
        <v>Industrials</v>
      </c>
      <c r="D65" s="3" t="str" cm="1">
        <f t="array" ref="D65">_xll.BDP(A65,"GICS_INDUSTRY_NAME")</f>
        <v>Professional Services</v>
      </c>
      <c r="E65" s="4" cm="1">
        <f t="array" ref="E65">_xll.BDP($A65,"UD_OVERALL_FACTOR_PERCENTILE")</f>
        <v>46.06</v>
      </c>
      <c r="F65" s="5" cm="1">
        <f t="array" ref="F65">IFERROR(_xll.BDP($A65,"UD_OPERATING_QUALITY_FP"),50)</f>
        <v>73.92</v>
      </c>
      <c r="G65" s="4" cm="1">
        <f t="array" ref="G65">_xll.BDP($A65,"UD_OPERATING_QUALITY_RANK")</f>
        <v>78</v>
      </c>
      <c r="H65" s="4" cm="1">
        <f t="array" ref="H65">_xll.BDP($A65,"UD_GROWTH_PERCENTILE")</f>
        <v>43.88</v>
      </c>
      <c r="I65" s="6" cm="1">
        <f t="array" ref="I65">_xll.BDP($A65,"UD_GROWTH_RANK")</f>
        <v>36</v>
      </c>
      <c r="J65" s="4" cm="1">
        <f t="array" ref="J65">_xll.BDP($A65,"UD_VALUATION_PERCENTILE")</f>
        <v>28.96</v>
      </c>
      <c r="K65" s="4" cm="1">
        <f t="array" ref="K65">_xll.BDP($A65,"UD_VALUATION_RANK")</f>
        <v>25</v>
      </c>
      <c r="L65" s="4" cm="1">
        <f t="array" ref="L65">_xll.BDP($A65,"UD_MOMENTUM_PERCENTILE")</f>
        <v>35.83</v>
      </c>
      <c r="M65" s="4" cm="1">
        <f t="array" ref="M65">_xll.BDP($A65,"UD_MOMENTUM_RANK")</f>
        <v>22</v>
      </c>
      <c r="N65" s="4" cm="1">
        <f t="array" ref="N65">_xll.BDP($A65,"UD_RISK_PERCENTILE")</f>
        <v>81.56</v>
      </c>
    </row>
    <row r="66" spans="1:14" x14ac:dyDescent="0.25">
      <c r="A66" t="str">
        <v>CA FP Equity</v>
      </c>
      <c r="B66">
        <v>9.7607231734000002E-2</v>
      </c>
      <c r="C66" s="3" t="str" cm="1">
        <f t="array" ref="C66">_xll.BDP(A66,"GICS_SECTOR_NAME")</f>
        <v>Consumer Staples</v>
      </c>
      <c r="D66" s="3" t="str" cm="1">
        <f t="array" ref="D66">_xll.BDP(A66,"GICS_INDUSTRY_NAME")</f>
        <v>Consumer Staples Distribution</v>
      </c>
      <c r="E66" s="4" cm="1">
        <f t="array" ref="E66">_xll.BDP($A66,"UD_OVERALL_FACTOR_PERCENTILE")</f>
        <v>56.3</v>
      </c>
      <c r="F66" s="5" cm="1">
        <f t="array" ref="F66">IFERROR(_xll.BDP($A66,"UD_OPERATING_QUALITY_FP"),50)</f>
        <v>49.49</v>
      </c>
      <c r="G66" s="4" cm="1">
        <f t="array" ref="G66">_xll.BDP($A66,"UD_OPERATING_QUALITY_RANK")</f>
        <v>37</v>
      </c>
      <c r="H66" s="4" cm="1">
        <f t="array" ref="H66">_xll.BDP($A66,"UD_GROWTH_PERCENTILE")</f>
        <v>37.22</v>
      </c>
      <c r="I66" s="6" cm="1">
        <f t="array" ref="I66">_xll.BDP($A66,"UD_GROWTH_RANK")</f>
        <v>21</v>
      </c>
      <c r="J66" s="4" cm="1">
        <f t="array" ref="J66">_xll.BDP($A66,"UD_VALUATION_PERCENTILE")</f>
        <v>68.790000000000006</v>
      </c>
      <c r="K66" s="4" cm="1">
        <f t="array" ref="K66">_xll.BDP($A66,"UD_VALUATION_RANK")</f>
        <v>94</v>
      </c>
      <c r="L66" s="4" cm="1">
        <f t="array" ref="L66">_xll.BDP($A66,"UD_MOMENTUM_PERCENTILE")</f>
        <v>50.25</v>
      </c>
      <c r="M66" s="4" cm="1">
        <f t="array" ref="M66">_xll.BDP($A66,"UD_MOMENTUM_RANK")</f>
        <v>52</v>
      </c>
      <c r="N66" s="4" cm="1">
        <f t="array" ref="N66">_xll.BDP($A66,"UD_RISK_PERCENTILE")</f>
        <v>75.77</v>
      </c>
    </row>
    <row r="67" spans="1:14" x14ac:dyDescent="0.25">
      <c r="A67" t="str">
        <v>CABK SM Equity</v>
      </c>
      <c r="B67">
        <v>0.29731057553599999</v>
      </c>
      <c r="C67" s="3" t="str" cm="1">
        <f t="array" ref="C67">_xll.BDP(A67,"GICS_SECTOR_NAME")</f>
        <v>Financials</v>
      </c>
      <c r="D67" s="3" t="str" cm="1">
        <f t="array" ref="D67">_xll.BDP(A67,"GICS_INDUSTRY_NAME")</f>
        <v>Banks</v>
      </c>
      <c r="E67" s="4" cm="1">
        <f t="array" ref="E67">_xll.BDP($A67,"UD_OVERALL_FACTOR_PERCENTILE")</f>
        <v>48.04</v>
      </c>
      <c r="F67" s="5" cm="1">
        <f t="array" ref="F67">IFERROR(_xll.BDP($A67,"UD_OPERATING_QUALITY_FP"),50)</f>
        <v>52.04</v>
      </c>
      <c r="G67" s="4" cm="1">
        <f t="array" ref="G67">_xll.BDP($A67,"UD_OPERATING_QUALITY_RANK")</f>
        <v>56</v>
      </c>
      <c r="H67" s="4" cm="1">
        <f t="array" ref="H67">_xll.BDP($A67,"UD_GROWTH_PERCENTILE")</f>
        <v>60.74</v>
      </c>
      <c r="I67" s="6" cm="1">
        <f t="array" ref="I67">_xll.BDP($A67,"UD_GROWTH_RANK")</f>
        <v>74</v>
      </c>
      <c r="J67" s="4" cm="1">
        <f t="array" ref="J67">_xll.BDP($A67,"UD_VALUATION_PERCENTILE")</f>
        <v>38.57</v>
      </c>
      <c r="K67" s="4" cm="1">
        <f t="array" ref="K67">_xll.BDP($A67,"UD_VALUATION_RANK")</f>
        <v>27</v>
      </c>
      <c r="L67" s="4" cm="1">
        <f t="array" ref="L67">_xll.BDP($A67,"UD_MOMENTUM_PERCENTILE")</f>
        <v>53.79</v>
      </c>
      <c r="M67" s="4" cm="1">
        <f t="array" ref="M67">_xll.BDP($A67,"UD_MOMENTUM_RANK")</f>
        <v>59</v>
      </c>
      <c r="N67" s="4" cm="1">
        <f t="array" ref="N67">_xll.BDP($A67,"UD_RISK_PERCENTILE")</f>
        <v>60.9</v>
      </c>
    </row>
    <row r="68" spans="1:14" x14ac:dyDescent="0.25">
      <c r="A68" t="str">
        <v>CAN LN Equity</v>
      </c>
      <c r="B68">
        <v>3.4713426415999997E-2</v>
      </c>
      <c r="C68" s="3" t="str" cm="1">
        <f t="array" ref="C68">_xll.BDP(A68,"GICS_SECTOR_NAME")</f>
        <v>Communication Services</v>
      </c>
      <c r="D68" s="3" t="str" cm="1">
        <f t="array" ref="D68">_xll.BDP(A68,"GICS_INDUSTRY_NAME")</f>
        <v>Media</v>
      </c>
      <c r="E68" s="4" t="str" cm="1">
        <f t="array" ref="E68">_xll.BDP($A68,"UD_OVERALL_FACTOR_PERCENTILE")</f>
        <v>#N/A Field Not Applicable</v>
      </c>
      <c r="F68" s="5" t="str" cm="1">
        <f t="array" ref="F68">IFERROR(_xll.BDP($A68,"UD_OPERATING_QUALITY_FP"),50)</f>
        <v>#N/A Field Not Applicable</v>
      </c>
      <c r="G68" s="4" t="str" cm="1">
        <f t="array" ref="G68">_xll.BDP($A68,"UD_OPERATING_QUALITY_RANK")</f>
        <v>#N/A Field Not Applicable</v>
      </c>
      <c r="H68" s="4" t="str" cm="1">
        <f t="array" ref="H68">_xll.BDP($A68,"UD_GROWTH_PERCENTILE")</f>
        <v>#N/A Field Not Applicable</v>
      </c>
      <c r="I68" s="6" t="str" cm="1">
        <f t="array" ref="I68">_xll.BDP($A68,"UD_GROWTH_RANK")</f>
        <v>#N/A Field Not Applicable</v>
      </c>
      <c r="J68" s="4" t="str" cm="1">
        <f t="array" ref="J68">_xll.BDP($A68,"UD_VALUATION_PERCENTILE")</f>
        <v>#N/A Field Not Applicable</v>
      </c>
      <c r="K68" s="4" t="str" cm="1">
        <f t="array" ref="K68">_xll.BDP($A68,"UD_VALUATION_RANK")</f>
        <v>#N/A Field Not Applicable</v>
      </c>
      <c r="L68" s="4" t="str" cm="1">
        <f t="array" ref="L68">_xll.BDP($A68,"UD_MOMENTUM_PERCENTILE")</f>
        <v>#N/A Field Not Applicable</v>
      </c>
      <c r="M68" s="4" t="str" cm="1">
        <f t="array" ref="M68">_xll.BDP($A68,"UD_MOMENTUM_RANK")</f>
        <v>#N/A Field Not Applicable</v>
      </c>
      <c r="N68" s="4" t="str" cm="1">
        <f t="array" ref="N68">_xll.BDP($A68,"UD_RISK_PERCENTILE")</f>
        <v>#N/A Field Not Applicable</v>
      </c>
    </row>
    <row r="69" spans="1:14" x14ac:dyDescent="0.25">
      <c r="A69" t="str">
        <v>CAP FP Equity</v>
      </c>
      <c r="B69">
        <v>0.20540586195300001</v>
      </c>
      <c r="C69" s="3" t="str" cm="1">
        <f t="array" ref="C69">_xll.BDP(A69,"GICS_SECTOR_NAME")</f>
        <v>Information Technology</v>
      </c>
      <c r="D69" s="3" t="str" cm="1">
        <f t="array" ref="D69">_xll.BDP(A69,"GICS_INDUSTRY_NAME")</f>
        <v>IT Services</v>
      </c>
      <c r="E69" s="4" cm="1">
        <f t="array" ref="E69">_xll.BDP($A69,"UD_OVERALL_FACTOR_PERCENTILE")</f>
        <v>66.23</v>
      </c>
      <c r="F69" s="5" cm="1">
        <f t="array" ref="F69">IFERROR(_xll.BDP($A69,"UD_OPERATING_QUALITY_FP"),50)</f>
        <v>67.89</v>
      </c>
      <c r="G69" s="4" cm="1">
        <f t="array" ref="G69">_xll.BDP($A69,"UD_OPERATING_QUALITY_RANK")</f>
        <v>66</v>
      </c>
      <c r="H69" s="4" cm="1">
        <f t="array" ref="H69">_xll.BDP($A69,"UD_GROWTH_PERCENTILE")</f>
        <v>39.36</v>
      </c>
      <c r="I69" s="6" cm="1">
        <f t="array" ref="I69">_xll.BDP($A69,"UD_GROWTH_RANK")</f>
        <v>25</v>
      </c>
      <c r="J69" s="4" cm="1">
        <f t="array" ref="J69">_xll.BDP($A69,"UD_VALUATION_PERCENTILE")</f>
        <v>71.290000000000006</v>
      </c>
      <c r="K69" s="4" cm="1">
        <f t="array" ref="K69">_xll.BDP($A69,"UD_VALUATION_RANK")</f>
        <v>91</v>
      </c>
      <c r="L69" s="4" cm="1">
        <f t="array" ref="L69">_xll.BDP($A69,"UD_MOMENTUM_PERCENTILE")</f>
        <v>59.37</v>
      </c>
      <c r="M69" s="4" cm="1">
        <f t="array" ref="M69">_xll.BDP($A69,"UD_MOMENTUM_RANK")</f>
        <v>76</v>
      </c>
      <c r="N69" s="4" cm="1">
        <f t="array" ref="N69">_xll.BDP($A69,"UD_RISK_PERCENTILE")</f>
        <v>55.13</v>
      </c>
    </row>
    <row r="70" spans="1:14" x14ac:dyDescent="0.25">
      <c r="A70" t="str">
        <v>CARLB DC Equity</v>
      </c>
      <c r="B70">
        <v>9.0983874431000006E-2</v>
      </c>
      <c r="C70" s="3" t="str" cm="1">
        <f t="array" ref="C70">_xll.BDP(A70,"GICS_SECTOR_NAME")</f>
        <v>Consumer Staples</v>
      </c>
      <c r="D70" s="3" t="str" cm="1">
        <f t="array" ref="D70">_xll.BDP(A70,"GICS_INDUSTRY_NAME")</f>
        <v>Beverages</v>
      </c>
      <c r="E70" s="4" cm="1">
        <f t="array" ref="E70">_xll.BDP($A70,"UD_OVERALL_FACTOR_PERCENTILE")</f>
        <v>59.21</v>
      </c>
      <c r="F70" s="5" cm="1">
        <f t="array" ref="F70">IFERROR(_xll.BDP($A70,"UD_OPERATING_QUALITY_FP"),50)</f>
        <v>70.62</v>
      </c>
      <c r="G70" s="4" cm="1">
        <f t="array" ref="G70">_xll.BDP($A70,"UD_OPERATING_QUALITY_RANK")</f>
        <v>79</v>
      </c>
      <c r="H70" s="4" cm="1">
        <f t="array" ref="H70">_xll.BDP($A70,"UD_GROWTH_PERCENTILE")</f>
        <v>46.23</v>
      </c>
      <c r="I70" s="6" cm="1">
        <f t="array" ref="I70">_xll.BDP($A70,"UD_GROWTH_RANK")</f>
        <v>40</v>
      </c>
      <c r="J70" s="4" cm="1">
        <f t="array" ref="J70">_xll.BDP($A70,"UD_VALUATION_PERCENTILE")</f>
        <v>49.79</v>
      </c>
      <c r="K70" s="4" cm="1">
        <f t="array" ref="K70">_xll.BDP($A70,"UD_VALUATION_RANK")</f>
        <v>52</v>
      </c>
      <c r="L70" s="4" cm="1">
        <f t="array" ref="L70">_xll.BDP($A70,"UD_MOMENTUM_PERCENTILE")</f>
        <v>57.51</v>
      </c>
      <c r="M70" s="4" cm="1">
        <f t="array" ref="M70">_xll.BDP($A70,"UD_MOMENTUM_RANK")</f>
        <v>77</v>
      </c>
      <c r="N70" s="4" cm="1">
        <f t="array" ref="N70">_xll.BDP($A70,"UD_RISK_PERCENTILE")</f>
        <v>79.069999999999993</v>
      </c>
    </row>
    <row r="71" spans="1:14" x14ac:dyDescent="0.25">
      <c r="A71" t="str">
        <v>CBK GY Equity</v>
      </c>
      <c r="B71">
        <v>0.33465769036199999</v>
      </c>
      <c r="C71" s="3" t="str" cm="1">
        <f t="array" ref="C71">_xll.BDP(A71,"GICS_SECTOR_NAME")</f>
        <v>Financials</v>
      </c>
      <c r="D71" s="3" t="str" cm="1">
        <f t="array" ref="D71">_xll.BDP(A71,"GICS_INDUSTRY_NAME")</f>
        <v>Banks</v>
      </c>
      <c r="E71" s="4" cm="1">
        <f t="array" ref="E71">_xll.BDP($A71,"UD_OVERALL_FACTOR_PERCENTILE")</f>
        <v>46.23</v>
      </c>
      <c r="F71" s="5" cm="1">
        <f t="array" ref="F71">IFERROR(_xll.BDP($A71,"UD_OPERATING_QUALITY_FP"),50)</f>
        <v>30.02</v>
      </c>
      <c r="G71" s="4" cm="1">
        <f t="array" ref="G71">_xll.BDP($A71,"UD_OPERATING_QUALITY_RANK")</f>
        <v>9</v>
      </c>
      <c r="H71" s="4" cm="1">
        <f t="array" ref="H71">_xll.BDP($A71,"UD_GROWTH_PERCENTILE")</f>
        <v>66.349999999999994</v>
      </c>
      <c r="I71" s="6" cm="1">
        <f t="array" ref="I71">_xll.BDP($A71,"UD_GROWTH_RANK")</f>
        <v>85</v>
      </c>
      <c r="J71" s="4" cm="1">
        <f t="array" ref="J71">_xll.BDP($A71,"UD_VALUATION_PERCENTILE")</f>
        <v>31.66</v>
      </c>
      <c r="K71" s="4" cm="1">
        <f t="array" ref="K71">_xll.BDP($A71,"UD_VALUATION_RANK")</f>
        <v>20</v>
      </c>
      <c r="L71" s="4" cm="1">
        <f t="array" ref="L71">_xll.BDP($A71,"UD_MOMENTUM_PERCENTILE")</f>
        <v>77.459999999999994</v>
      </c>
      <c r="M71" s="4" cm="1">
        <f t="array" ref="M71">_xll.BDP($A71,"UD_MOMENTUM_RANK")</f>
        <v>91</v>
      </c>
      <c r="N71" s="4" cm="1">
        <f t="array" ref="N71">_xll.BDP($A71,"UD_RISK_PERCENTILE")</f>
        <v>34.159999999999997</v>
      </c>
    </row>
    <row r="72" spans="1:14" x14ac:dyDescent="0.25">
      <c r="A72" t="str">
        <v>CCH LN Equity</v>
      </c>
      <c r="B72">
        <v>0.18620906089200001</v>
      </c>
      <c r="C72" s="3" t="str" cm="1">
        <f t="array" ref="C72">_xll.BDP(A72,"GICS_SECTOR_NAME")</f>
        <v>Consumer Staples</v>
      </c>
      <c r="D72" s="3" t="str" cm="1">
        <f t="array" ref="D72">_xll.BDP(A72,"GICS_INDUSTRY_NAME")</f>
        <v>Beverages</v>
      </c>
      <c r="E72" s="4" cm="1">
        <f t="array" ref="E72">_xll.BDP($A72,"UD_OVERALL_FACTOR_PERCENTILE")</f>
        <v>53.9</v>
      </c>
      <c r="F72" s="5" cm="1">
        <f t="array" ref="F72">IFERROR(_xll.BDP($A72,"UD_OPERATING_QUALITY_FP"),50)</f>
        <v>54.76</v>
      </c>
      <c r="G72" s="4" cm="1">
        <f t="array" ref="G72">_xll.BDP($A72,"UD_OPERATING_QUALITY_RANK")</f>
        <v>52</v>
      </c>
      <c r="H72" s="4" cm="1">
        <f t="array" ref="H72">_xll.BDP($A72,"UD_GROWTH_PERCENTILE")</f>
        <v>58.21</v>
      </c>
      <c r="I72" s="6" cm="1">
        <f t="array" ref="I72">_xll.BDP($A72,"UD_GROWTH_RANK")</f>
        <v>69</v>
      </c>
      <c r="J72" s="4" cm="1">
        <f t="array" ref="J72">_xll.BDP($A72,"UD_VALUATION_PERCENTILE")</f>
        <v>31.83</v>
      </c>
      <c r="K72" s="4" cm="1">
        <f t="array" ref="K72">_xll.BDP($A72,"UD_VALUATION_RANK")</f>
        <v>15</v>
      </c>
      <c r="L72" s="4" cm="1">
        <f t="array" ref="L72">_xll.BDP($A72,"UD_MOMENTUM_PERCENTILE")</f>
        <v>75.77</v>
      </c>
      <c r="M72" s="4" cm="1">
        <f t="array" ref="M72">_xll.BDP($A72,"UD_MOMENTUM_RANK")</f>
        <v>95</v>
      </c>
      <c r="N72" s="4" cm="1">
        <f t="array" ref="N72">_xll.BDP($A72,"UD_RISK_PERCENTILE")</f>
        <v>60.26</v>
      </c>
    </row>
    <row r="73" spans="1:14" x14ac:dyDescent="0.25">
      <c r="A73" t="str">
        <v>CLN SW Equity</v>
      </c>
      <c r="B73">
        <v>9.1494362704999999E-2</v>
      </c>
      <c r="C73" s="3" t="str" cm="1">
        <f t="array" ref="C73">_xll.BDP(A73,"GICS_SECTOR_NAME")</f>
        <v>Materials</v>
      </c>
      <c r="D73" s="3" t="str" cm="1">
        <f t="array" ref="D73">_xll.BDP(A73,"GICS_INDUSTRY_NAME")</f>
        <v>Chemicals</v>
      </c>
      <c r="E73" s="4" t="str" cm="1">
        <f t="array" ref="E73">_xll.BDP($A73,"UD_OVERALL_FACTOR_PERCENTILE")</f>
        <v>#N/A Field Not Applicable</v>
      </c>
      <c r="F73" s="5" t="str" cm="1">
        <f t="array" ref="F73">IFERROR(_xll.BDP($A73,"UD_OPERATING_QUALITY_FP"),50)</f>
        <v>#N/A Field Not Applicable</v>
      </c>
      <c r="G73" s="4" t="str" cm="1">
        <f t="array" ref="G73">_xll.BDP($A73,"UD_OPERATING_QUALITY_RANK")</f>
        <v>#N/A Field Not Applicable</v>
      </c>
      <c r="H73" s="4" t="str" cm="1">
        <f t="array" ref="H73">_xll.BDP($A73,"UD_GROWTH_PERCENTILE")</f>
        <v>#N/A Field Not Applicable</v>
      </c>
      <c r="I73" s="6" t="str" cm="1">
        <f t="array" ref="I73">_xll.BDP($A73,"UD_GROWTH_RANK")</f>
        <v>#N/A Field Not Applicable</v>
      </c>
      <c r="J73" s="4" t="str" cm="1">
        <f t="array" ref="J73">_xll.BDP($A73,"UD_VALUATION_PERCENTILE")</f>
        <v>#N/A Field Not Applicable</v>
      </c>
      <c r="K73" s="4" t="str" cm="1">
        <f t="array" ref="K73">_xll.BDP($A73,"UD_VALUATION_RANK")</f>
        <v>#N/A Field Not Applicable</v>
      </c>
      <c r="L73" s="4" t="str" cm="1">
        <f t="array" ref="L73">_xll.BDP($A73,"UD_MOMENTUM_PERCENTILE")</f>
        <v>#N/A Field Not Applicable</v>
      </c>
      <c r="M73" s="4" t="str" cm="1">
        <f t="array" ref="M73">_xll.BDP($A73,"UD_MOMENTUM_RANK")</f>
        <v>#N/A Field Not Applicable</v>
      </c>
      <c r="N73" s="4" t="str" cm="1">
        <f t="array" ref="N73">_xll.BDP($A73,"UD_RISK_PERCENTILE")</f>
        <v>#N/A Field Not Applicable</v>
      </c>
    </row>
    <row r="74" spans="1:14" x14ac:dyDescent="0.25">
      <c r="A74" t="str">
        <v>CLNX SM Equity</v>
      </c>
      <c r="B74">
        <v>0.108410893853</v>
      </c>
      <c r="C74" s="3" t="str" cm="1">
        <f t="array" ref="C74">_xll.BDP(A74,"GICS_SECTOR_NAME")</f>
        <v>Communication Services</v>
      </c>
      <c r="D74" s="3" t="str" cm="1">
        <f t="array" ref="D74">_xll.BDP(A74,"GICS_INDUSTRY_NAME")</f>
        <v>Diversified Telecommunication</v>
      </c>
      <c r="E74" s="4" cm="1">
        <f t="array" ref="E74">_xll.BDP($A74,"UD_OVERALL_FACTOR_PERCENTILE")</f>
        <v>42.4</v>
      </c>
      <c r="F74" s="5" cm="1">
        <f t="array" ref="F74">IFERROR(_xll.BDP($A74,"UD_OPERATING_QUALITY_FP"),50)</f>
        <v>56.59</v>
      </c>
      <c r="G74" s="4" cm="1">
        <f t="array" ref="G74">_xll.BDP($A74,"UD_OPERATING_QUALITY_RANK")</f>
        <v>57</v>
      </c>
      <c r="H74" s="4" cm="1">
        <f t="array" ref="H74">_xll.BDP($A74,"UD_GROWTH_PERCENTILE")</f>
        <v>53.71</v>
      </c>
      <c r="I74" s="6" cm="1">
        <f t="array" ref="I74">_xll.BDP($A74,"UD_GROWTH_RANK")</f>
        <v>59</v>
      </c>
      <c r="J74" s="4" cm="1">
        <f t="array" ref="J74">_xll.BDP($A74,"UD_VALUATION_PERCENTILE")</f>
        <v>31.61</v>
      </c>
      <c r="K74" s="4" cm="1">
        <f t="array" ref="K74">_xll.BDP($A74,"UD_VALUATION_RANK")</f>
        <v>21</v>
      </c>
      <c r="L74" s="4" cm="1">
        <f t="array" ref="L74">_xll.BDP($A74,"UD_MOMENTUM_PERCENTILE")</f>
        <v>39.340000000000003</v>
      </c>
      <c r="M74" s="4" cm="1">
        <f t="array" ref="M74">_xll.BDP($A74,"UD_MOMENTUM_RANK")</f>
        <v>20</v>
      </c>
      <c r="N74" s="4" cm="1">
        <f t="array" ref="N74">_xll.BDP($A74,"UD_RISK_PERCENTILE")</f>
        <v>74.56</v>
      </c>
    </row>
    <row r="75" spans="1:14" x14ac:dyDescent="0.25">
      <c r="A75" t="str">
        <v>COLOB DC Equity</v>
      </c>
      <c r="B75">
        <v>9.7951336447000006E-2</v>
      </c>
      <c r="C75" s="3" t="str" cm="1">
        <f t="array" ref="C75">_xll.BDP(A75,"GICS_SECTOR_NAME")</f>
        <v>Health Care</v>
      </c>
      <c r="D75" s="3" t="str" cm="1">
        <f t="array" ref="D75">_xll.BDP(A75,"GICS_INDUSTRY_NAME")</f>
        <v>Health Care Equipment &amp; Suppli</v>
      </c>
      <c r="E75" s="4" cm="1">
        <f t="array" ref="E75">_xll.BDP($A75,"UD_OVERALL_FACTOR_PERCENTILE")</f>
        <v>47.96</v>
      </c>
      <c r="F75" s="5" cm="1">
        <f t="array" ref="F75">IFERROR(_xll.BDP($A75,"UD_OPERATING_QUALITY_FP"),50)</f>
        <v>86.88</v>
      </c>
      <c r="G75" s="4" cm="1">
        <f t="array" ref="G75">_xll.BDP($A75,"UD_OPERATING_QUALITY_RANK")</f>
        <v>100</v>
      </c>
      <c r="H75" s="4" cm="1">
        <f t="array" ref="H75">_xll.BDP($A75,"UD_GROWTH_PERCENTILE")</f>
        <v>50.24</v>
      </c>
      <c r="I75" s="6" cm="1">
        <f t="array" ref="I75">_xll.BDP($A75,"UD_GROWTH_RANK")</f>
        <v>50</v>
      </c>
      <c r="J75" s="4" cm="1">
        <f t="array" ref="J75">_xll.BDP($A75,"UD_VALUATION_PERCENTILE")</f>
        <v>30.78</v>
      </c>
      <c r="K75" s="4" cm="1">
        <f t="array" ref="K75">_xll.BDP($A75,"UD_VALUATION_RANK")</f>
        <v>14</v>
      </c>
      <c r="L75" s="4" cm="1">
        <f t="array" ref="L75">_xll.BDP($A75,"UD_MOMENTUM_PERCENTILE")</f>
        <v>26.73</v>
      </c>
      <c r="M75" s="4" cm="1">
        <f t="array" ref="M75">_xll.BDP($A75,"UD_MOMENTUM_RANK")</f>
        <v>9</v>
      </c>
      <c r="N75" s="4" cm="1">
        <f t="array" ref="N75">_xll.BDP($A75,"UD_RISK_PERCENTILE")</f>
        <v>80.56</v>
      </c>
    </row>
    <row r="76" spans="1:14" x14ac:dyDescent="0.25">
      <c r="A76" t="str">
        <v>CON GY Equity</v>
      </c>
      <c r="B76">
        <v>6.8782462673000005E-2</v>
      </c>
      <c r="C76" s="3" t="str" cm="1">
        <f t="array" ref="C76">_xll.BDP(A76,"GICS_SECTOR_NAME")</f>
        <v>Consumer Discretionary</v>
      </c>
      <c r="D76" s="3" t="str" cm="1">
        <f t="array" ref="D76">_xll.BDP(A76,"GICS_INDUSTRY_NAME")</f>
        <v>Automobile Components</v>
      </c>
      <c r="E76" s="4" cm="1">
        <f t="array" ref="E76">_xll.BDP($A76,"UD_OVERALL_FACTOR_PERCENTILE")</f>
        <v>61.27</v>
      </c>
      <c r="F76" s="5" cm="1">
        <f t="array" ref="F76">IFERROR(_xll.BDP($A76,"UD_OPERATING_QUALITY_FP"),50)</f>
        <v>49.35</v>
      </c>
      <c r="G76" s="4" cm="1">
        <f t="array" ref="G76">_xll.BDP($A76,"UD_OPERATING_QUALITY_RANK")</f>
        <v>36</v>
      </c>
      <c r="H76" s="4" cm="1">
        <f t="array" ref="H76">_xll.BDP($A76,"UD_GROWTH_PERCENTILE")</f>
        <v>40.24</v>
      </c>
      <c r="I76" s="6" cm="1">
        <f t="array" ref="I76">_xll.BDP($A76,"UD_GROWTH_RANK")</f>
        <v>28</v>
      </c>
      <c r="J76" s="4" cm="1">
        <f t="array" ref="J76">_xll.BDP($A76,"UD_VALUATION_PERCENTILE")</f>
        <v>75.56</v>
      </c>
      <c r="K76" s="4" cm="1">
        <f t="array" ref="K76">_xll.BDP($A76,"UD_VALUATION_RANK")</f>
        <v>93</v>
      </c>
      <c r="L76" s="4" cm="1">
        <f t="array" ref="L76">_xll.BDP($A76,"UD_MOMENTUM_PERCENTILE")</f>
        <v>58.47</v>
      </c>
      <c r="M76" s="4" cm="1">
        <f t="array" ref="M76">_xll.BDP($A76,"UD_MOMENTUM_RANK")</f>
        <v>71</v>
      </c>
      <c r="N76" s="4" cm="1">
        <f t="array" ref="N76">_xll.BDP($A76,"UD_RISK_PERCENTILE")</f>
        <v>51.44</v>
      </c>
    </row>
    <row r="77" spans="1:14" x14ac:dyDescent="0.25">
      <c r="A77" t="str">
        <v>COV FP Equity</v>
      </c>
      <c r="B77">
        <v>0.112548946276</v>
      </c>
      <c r="C77" s="3" t="str" cm="1">
        <f t="array" ref="C77">_xll.BDP(A77,"GICS_SECTOR_NAME")</f>
        <v>Real Estate</v>
      </c>
      <c r="D77" s="3" t="str" cm="1">
        <f t="array" ref="D77">_xll.BDP(A77,"GICS_INDUSTRY_NAME")</f>
        <v>Diversified REITs</v>
      </c>
      <c r="E77" s="4" cm="1">
        <f t="array" ref="E77">_xll.BDP($A77,"UD_OVERALL_FACTOR_PERCENTILE")</f>
        <v>55.57</v>
      </c>
      <c r="F77" s="5" cm="1">
        <f t="array" ref="F77">IFERROR(_xll.BDP($A77,"UD_OPERATING_QUALITY_FP"),50)</f>
        <v>38.36</v>
      </c>
      <c r="G77" s="4" cm="1">
        <f t="array" ref="G77">_xll.BDP($A77,"UD_OPERATING_QUALITY_RANK")</f>
        <v>31</v>
      </c>
      <c r="H77" s="4" cm="1">
        <f t="array" ref="H77">_xll.BDP($A77,"UD_GROWTH_PERCENTILE")</f>
        <v>35.06</v>
      </c>
      <c r="I77" s="6" cm="1">
        <f t="array" ref="I77">_xll.BDP($A77,"UD_GROWTH_RANK")</f>
        <v>17</v>
      </c>
      <c r="J77" s="4" cm="1">
        <f t="array" ref="J77">_xll.BDP($A77,"UD_VALUATION_PERCENTILE")</f>
        <v>61.2</v>
      </c>
      <c r="K77" s="4" cm="1">
        <f t="array" ref="K77">_xll.BDP($A77,"UD_VALUATION_RANK")</f>
        <v>79</v>
      </c>
      <c r="L77" s="4" cm="1">
        <f t="array" ref="L77">_xll.BDP($A77,"UD_MOMENTUM_PERCENTILE")</f>
        <v>66.959999999999994</v>
      </c>
      <c r="M77" s="4" cm="1">
        <f t="array" ref="M77">_xll.BDP($A77,"UD_MOMENTUM_RANK")</f>
        <v>89</v>
      </c>
      <c r="N77" s="4" cm="1">
        <f t="array" ref="N77">_xll.BDP($A77,"UD_RISK_PERCENTILE")</f>
        <v>53.35</v>
      </c>
    </row>
    <row r="78" spans="1:14" x14ac:dyDescent="0.25">
      <c r="A78" t="str">
        <v>CPG LN Equity</v>
      </c>
      <c r="B78">
        <v>0.70521191139399997</v>
      </c>
      <c r="C78" s="3" t="str" cm="1">
        <f t="array" ref="C78">_xll.BDP(A78,"GICS_SECTOR_NAME")</f>
        <v>Consumer Discretionary</v>
      </c>
      <c r="D78" s="3" t="str" cm="1">
        <f t="array" ref="D78">_xll.BDP(A78,"GICS_INDUSTRY_NAME")</f>
        <v>Hotels, Restaurants &amp; Leisure</v>
      </c>
      <c r="E78" s="4" cm="1">
        <f t="array" ref="E78">_xll.BDP($A78,"UD_OVERALL_FACTOR_PERCENTILE")</f>
        <v>50.41</v>
      </c>
      <c r="F78" s="5" cm="1">
        <f t="array" ref="F78">IFERROR(_xll.BDP($A78,"UD_OPERATING_QUALITY_FP"),50)</f>
        <v>71.989999999999995</v>
      </c>
      <c r="G78" s="4" cm="1">
        <f t="array" ref="G78">_xll.BDP($A78,"UD_OPERATING_QUALITY_RANK")</f>
        <v>83</v>
      </c>
      <c r="H78" s="4" cm="1">
        <f t="array" ref="H78">_xll.BDP($A78,"UD_GROWTH_PERCENTILE")</f>
        <v>66.88</v>
      </c>
      <c r="I78" s="6" cm="1">
        <f t="array" ref="I78">_xll.BDP($A78,"UD_GROWTH_RANK")</f>
        <v>85</v>
      </c>
      <c r="J78" s="4" cm="1">
        <f t="array" ref="J78">_xll.BDP($A78,"UD_VALUATION_PERCENTILE")</f>
        <v>16.91</v>
      </c>
      <c r="K78" s="4" cm="1">
        <f t="array" ref="K78">_xll.BDP($A78,"UD_VALUATION_RANK")</f>
        <v>7</v>
      </c>
      <c r="L78" s="4" cm="1">
        <f t="array" ref="L78">_xll.BDP($A78,"UD_MOMENTUM_PERCENTILE")</f>
        <v>63.36</v>
      </c>
      <c r="M78" s="4" cm="1">
        <f t="array" ref="M78">_xll.BDP($A78,"UD_MOMENTUM_RANK")</f>
        <v>86</v>
      </c>
      <c r="N78" s="4" cm="1">
        <f t="array" ref="N78">_xll.BDP($A78,"UD_RISK_PERCENTILE")</f>
        <v>73.89</v>
      </c>
    </row>
    <row r="79" spans="1:14" x14ac:dyDescent="0.25">
      <c r="A79" t="str">
        <v>CRDA LN Equity</v>
      </c>
      <c r="B79">
        <v>8.3171001406000006E-2</v>
      </c>
      <c r="C79" s="3" t="str" cm="1">
        <f t="array" ref="C79">_xll.BDP(A79,"GICS_SECTOR_NAME")</f>
        <v>Materials</v>
      </c>
      <c r="D79" s="3" t="str" cm="1">
        <f t="array" ref="D79">_xll.BDP(A79,"GICS_INDUSTRY_NAME")</f>
        <v>Chemicals</v>
      </c>
      <c r="E79" s="4" cm="1">
        <f t="array" ref="E79">_xll.BDP($A79,"UD_OVERALL_FACTOR_PERCENTILE")</f>
        <v>51.16</v>
      </c>
      <c r="F79" s="5" cm="1">
        <f t="array" ref="F79">IFERROR(_xll.BDP($A79,"UD_OPERATING_QUALITY_FP"),50)</f>
        <v>70.72</v>
      </c>
      <c r="G79" s="4" cm="1">
        <f t="array" ref="G79">_xll.BDP($A79,"UD_OPERATING_QUALITY_RANK")</f>
        <v>76</v>
      </c>
      <c r="H79" s="4" cm="1">
        <f t="array" ref="H79">_xll.BDP($A79,"UD_GROWTH_PERCENTILE")</f>
        <v>43.61</v>
      </c>
      <c r="I79" s="6" cm="1">
        <f t="array" ref="I79">_xll.BDP($A79,"UD_GROWTH_RANK")</f>
        <v>35</v>
      </c>
      <c r="J79" s="4" cm="1">
        <f t="array" ref="J79">_xll.BDP($A79,"UD_VALUATION_PERCENTILE")</f>
        <v>34.69</v>
      </c>
      <c r="K79" s="4" cm="1">
        <f t="array" ref="K79">_xll.BDP($A79,"UD_VALUATION_RANK")</f>
        <v>26</v>
      </c>
      <c r="L79" s="4" cm="1">
        <f t="array" ref="L79">_xll.BDP($A79,"UD_MOMENTUM_PERCENTILE")</f>
        <v>48.58</v>
      </c>
      <c r="M79" s="4" cm="1">
        <f t="array" ref="M79">_xll.BDP($A79,"UD_MOMENTUM_RANK")</f>
        <v>47</v>
      </c>
      <c r="N79" s="4" cm="1">
        <f t="array" ref="N79">_xll.BDP($A79,"UD_RISK_PERCENTILE")</f>
        <v>53.09</v>
      </c>
    </row>
    <row r="80" spans="1:14" x14ac:dyDescent="0.25">
      <c r="A80" t="str">
        <v>CS FP Equity</v>
      </c>
      <c r="B80">
        <v>0.89622452565800004</v>
      </c>
      <c r="C80" s="3" t="str" cm="1">
        <f t="array" ref="C80">_xll.BDP(A80,"GICS_SECTOR_NAME")</f>
        <v>Financials</v>
      </c>
      <c r="D80" s="3" t="str" cm="1">
        <f t="array" ref="D80">_xll.BDP(A80,"GICS_INDUSTRY_NAME")</f>
        <v>Insurance</v>
      </c>
      <c r="E80" s="4" cm="1">
        <f t="array" ref="E80">_xll.BDP($A80,"UD_OVERALL_FACTOR_PERCENTILE")</f>
        <v>54.32</v>
      </c>
      <c r="F80" s="5" cm="1">
        <f t="array" ref="F80">IFERROR(_xll.BDP($A80,"UD_OPERATING_QUALITY_FP"),50)</f>
        <v>62.04</v>
      </c>
      <c r="G80" s="4" cm="1">
        <f t="array" ref="G80">_xll.BDP($A80,"UD_OPERATING_QUALITY_RANK")</f>
        <v>78</v>
      </c>
      <c r="H80" s="4" cm="1">
        <f t="array" ref="H80">_xll.BDP($A80,"UD_GROWTH_PERCENTILE")</f>
        <v>47.24</v>
      </c>
      <c r="I80" s="6" cm="1">
        <f t="array" ref="I80">_xll.BDP($A80,"UD_GROWTH_RANK")</f>
        <v>42</v>
      </c>
      <c r="J80" s="4" cm="1">
        <f t="array" ref="J80">_xll.BDP($A80,"UD_VALUATION_PERCENTILE")</f>
        <v>56.76</v>
      </c>
      <c r="K80" s="4" cm="1">
        <f t="array" ref="K80">_xll.BDP($A80,"UD_VALUATION_RANK")</f>
        <v>67</v>
      </c>
      <c r="L80" s="4" cm="1">
        <f t="array" ref="L80">_xll.BDP($A80,"UD_MOMENTUM_PERCENTILE")</f>
        <v>44.1</v>
      </c>
      <c r="M80" s="4" cm="1">
        <f t="array" ref="M80">_xll.BDP($A80,"UD_MOMENTUM_RANK")</f>
        <v>15</v>
      </c>
      <c r="N80" s="4" cm="1">
        <f t="array" ref="N80">_xll.BDP($A80,"UD_RISK_PERCENTILE")</f>
        <v>50.21</v>
      </c>
    </row>
    <row r="81" spans="1:14" x14ac:dyDescent="0.25">
      <c r="A81" t="str">
        <v>DANSKE DC Equity</v>
      </c>
      <c r="B81">
        <v>0.134640156618</v>
      </c>
      <c r="C81" s="3" t="str" cm="1">
        <f t="array" ref="C81">_xll.BDP(A81,"GICS_SECTOR_NAME")</f>
        <v>Financials</v>
      </c>
      <c r="D81" s="3" t="str" cm="1">
        <f t="array" ref="D81">_xll.BDP(A81,"GICS_INDUSTRY_NAME")</f>
        <v>Banks</v>
      </c>
      <c r="E81" s="4" cm="1">
        <f t="array" ref="E81">_xll.BDP($A81,"UD_OVERALL_FACTOR_PERCENTILE")</f>
        <v>49.04</v>
      </c>
      <c r="F81" s="5" cm="1">
        <f t="array" ref="F81">IFERROR(_xll.BDP($A81,"UD_OPERATING_QUALITY_FP"),50)</f>
        <v>45.42</v>
      </c>
      <c r="G81" s="4" cm="1">
        <f t="array" ref="G81">_xll.BDP($A81,"UD_OPERATING_QUALITY_RANK")</f>
        <v>36</v>
      </c>
      <c r="H81" s="4" cm="1">
        <f t="array" ref="H81">_xll.BDP($A81,"UD_GROWTH_PERCENTILE")</f>
        <v>41.65</v>
      </c>
      <c r="I81" s="6" cm="1">
        <f t="array" ref="I81">_xll.BDP($A81,"UD_GROWTH_RANK")</f>
        <v>31</v>
      </c>
      <c r="J81" s="4" cm="1">
        <f t="array" ref="J81">_xll.BDP($A81,"UD_VALUATION_PERCENTILE")</f>
        <v>57.7</v>
      </c>
      <c r="K81" s="4" cm="1">
        <f t="array" ref="K81">_xll.BDP($A81,"UD_VALUATION_RANK")</f>
        <v>76</v>
      </c>
      <c r="L81" s="4" cm="1">
        <f t="array" ref="L81">_xll.BDP($A81,"UD_MOMENTUM_PERCENTILE")</f>
        <v>43.74</v>
      </c>
      <c r="M81" s="4" cm="1">
        <f t="array" ref="M81">_xll.BDP($A81,"UD_MOMENTUM_RANK")</f>
        <v>37</v>
      </c>
      <c r="N81" s="4" cm="1">
        <f t="array" ref="N81">_xll.BDP($A81,"UD_RISK_PERCENTILE")</f>
        <v>83.8</v>
      </c>
    </row>
    <row r="82" spans="1:14" x14ac:dyDescent="0.25">
      <c r="A82" t="str">
        <v>DB1 GY Equity</v>
      </c>
      <c r="B82">
        <v>0.49039297301700002</v>
      </c>
      <c r="C82" s="3" t="str" cm="1">
        <f t="array" ref="C82">_xll.BDP(A82,"GICS_SECTOR_NAME")</f>
        <v>Financials</v>
      </c>
      <c r="D82" s="3" t="str" cm="1">
        <f t="array" ref="D82">_xll.BDP(A82,"GICS_INDUSTRY_NAME")</f>
        <v>Capital Markets</v>
      </c>
      <c r="E82" s="4" cm="1">
        <f t="array" ref="E82">_xll.BDP($A82,"UD_OVERALL_FACTOR_PERCENTILE")</f>
        <v>48.31</v>
      </c>
      <c r="F82" s="5" cm="1">
        <f t="array" ref="F82">IFERROR(_xll.BDP($A82,"UD_OPERATING_QUALITY_FP"),50)</f>
        <v>63.56</v>
      </c>
      <c r="G82" s="4" cm="1">
        <f t="array" ref="G82">_xll.BDP($A82,"UD_OPERATING_QUALITY_RANK")</f>
        <v>74</v>
      </c>
      <c r="H82" s="4" cm="1">
        <f t="array" ref="H82">_xll.BDP($A82,"UD_GROWTH_PERCENTILE")</f>
        <v>54.08</v>
      </c>
      <c r="I82" s="6" cm="1">
        <f t="array" ref="I82">_xll.BDP($A82,"UD_GROWTH_RANK")</f>
        <v>59</v>
      </c>
      <c r="J82" s="4" cm="1">
        <f t="array" ref="J82">_xll.BDP($A82,"UD_VALUATION_PERCENTILE")</f>
        <v>30.5</v>
      </c>
      <c r="K82" s="4" cm="1">
        <f t="array" ref="K82">_xll.BDP($A82,"UD_VALUATION_RANK")</f>
        <v>18</v>
      </c>
      <c r="L82" s="4" cm="1">
        <f t="array" ref="L82">_xll.BDP($A82,"UD_MOMENTUM_PERCENTILE")</f>
        <v>51.4</v>
      </c>
      <c r="M82" s="4" cm="1">
        <f t="array" ref="M82">_xll.BDP($A82,"UD_MOMENTUM_RANK")</f>
        <v>47</v>
      </c>
      <c r="N82" s="4" cm="1">
        <f t="array" ref="N82">_xll.BDP($A82,"UD_RISK_PERCENTILE")</f>
        <v>87</v>
      </c>
    </row>
    <row r="83" spans="1:14" x14ac:dyDescent="0.25">
      <c r="A83" t="str">
        <v>DBK GY Equity</v>
      </c>
      <c r="B83">
        <v>0.54372324323499999</v>
      </c>
      <c r="C83" s="3" t="str" cm="1">
        <f t="array" ref="C83">_xll.BDP(A83,"GICS_SECTOR_NAME")</f>
        <v>Financials</v>
      </c>
      <c r="D83" s="3" t="str" cm="1">
        <f t="array" ref="D83">_xll.BDP(A83,"GICS_INDUSTRY_NAME")</f>
        <v>Capital Markets</v>
      </c>
      <c r="E83" s="4" cm="1">
        <f t="array" ref="E83">_xll.BDP($A83,"UD_OVERALL_FACTOR_PERCENTILE")</f>
        <v>45.1</v>
      </c>
      <c r="F83" s="5" cm="1">
        <f t="array" ref="F83">IFERROR(_xll.BDP($A83,"UD_OPERATING_QUALITY_FP"),50)</f>
        <v>36.29</v>
      </c>
      <c r="G83" s="4" cm="1">
        <f t="array" ref="G83">_xll.BDP($A83,"UD_OPERATING_QUALITY_RANK")</f>
        <v>19</v>
      </c>
      <c r="H83" s="4" cm="1">
        <f t="array" ref="H83">_xll.BDP($A83,"UD_GROWTH_PERCENTILE")</f>
        <v>75.510000000000005</v>
      </c>
      <c r="I83" s="6" cm="1">
        <f t="array" ref="I83">_xll.BDP($A83,"UD_GROWTH_RANK")</f>
        <v>95</v>
      </c>
      <c r="J83" s="4" cm="1">
        <f t="array" ref="J83">_xll.BDP($A83,"UD_VALUATION_PERCENTILE")</f>
        <v>31.05</v>
      </c>
      <c r="K83" s="4" cm="1">
        <f t="array" ref="K83">_xll.BDP($A83,"UD_VALUATION_RANK")</f>
        <v>16</v>
      </c>
      <c r="L83" s="4" cm="1">
        <f t="array" ref="L83">_xll.BDP($A83,"UD_MOMENTUM_PERCENTILE")</f>
        <v>68.38</v>
      </c>
      <c r="M83" s="4" cm="1">
        <f t="array" ref="M83">_xll.BDP($A83,"UD_MOMENTUM_RANK")</f>
        <v>81</v>
      </c>
      <c r="N83" s="4" cm="1">
        <f t="array" ref="N83">_xll.BDP($A83,"UD_RISK_PERCENTILE")</f>
        <v>46.69</v>
      </c>
    </row>
    <row r="84" spans="1:14" x14ac:dyDescent="0.25">
      <c r="A84" t="str">
        <v>DCC LN Equity</v>
      </c>
      <c r="B84">
        <v>0.25108303766500001</v>
      </c>
      <c r="C84" s="3" t="str" cm="1">
        <f t="array" ref="C84">_xll.BDP(A84,"GICS_SECTOR_NAME")</f>
        <v>Industrials</v>
      </c>
      <c r="D84" s="3" t="str" cm="1">
        <f t="array" ref="D84">_xll.BDP(A84,"GICS_INDUSTRY_NAME")</f>
        <v>Industrial Conglomerates</v>
      </c>
      <c r="E84" s="4" cm="1">
        <f t="array" ref="E84">_xll.BDP($A84,"UD_OVERALL_FACTOR_PERCENTILE")</f>
        <v>56.02</v>
      </c>
      <c r="F84" s="5" cm="1">
        <f t="array" ref="F84">IFERROR(_xll.BDP($A84,"UD_OPERATING_QUALITY_FP"),50)</f>
        <v>69.739999999999995</v>
      </c>
      <c r="G84" s="4" cm="1">
        <f t="array" ref="G84">_xll.BDP($A84,"UD_OPERATING_QUALITY_RANK")</f>
        <v>72</v>
      </c>
      <c r="H84" s="4" cm="1">
        <f t="array" ref="H84">_xll.BDP($A84,"UD_GROWTH_PERCENTILE")</f>
        <v>36.44</v>
      </c>
      <c r="I84" s="6" cm="1">
        <f t="array" ref="I84">_xll.BDP($A84,"UD_GROWTH_RANK")</f>
        <v>20</v>
      </c>
      <c r="J84" s="4" cm="1">
        <f t="array" ref="J84">_xll.BDP($A84,"UD_VALUATION_PERCENTILE")</f>
        <v>62.13</v>
      </c>
      <c r="K84" s="4" cm="1">
        <f t="array" ref="K84">_xll.BDP($A84,"UD_VALUATION_RANK")</f>
        <v>78</v>
      </c>
      <c r="L84" s="4" cm="1">
        <f t="array" ref="L84">_xll.BDP($A84,"UD_MOMENTUM_PERCENTILE")</f>
        <v>35.99</v>
      </c>
      <c r="M84" s="4" cm="1">
        <f t="array" ref="M84">_xll.BDP($A84,"UD_MOMENTUM_RANK")</f>
        <v>23</v>
      </c>
      <c r="N84" s="4" cm="1">
        <f t="array" ref="N84">_xll.BDP($A84,"UD_RISK_PERCENTILE")</f>
        <v>71.97</v>
      </c>
    </row>
    <row r="85" spans="1:14" x14ac:dyDescent="0.25">
      <c r="A85" t="str">
        <v>DG FP Equity</v>
      </c>
      <c r="B85">
        <v>0.716926700142</v>
      </c>
      <c r="C85" s="3" t="str" cm="1">
        <f t="array" ref="C85">_xll.BDP(A85,"GICS_SECTOR_NAME")</f>
        <v>Industrials</v>
      </c>
      <c r="D85" s="3" t="str" cm="1">
        <f t="array" ref="D85">_xll.BDP(A85,"GICS_INDUSTRY_NAME")</f>
        <v>Construction &amp; Engineering</v>
      </c>
      <c r="E85" s="4" cm="1">
        <f t="array" ref="E85">_xll.BDP($A85,"UD_OVERALL_FACTOR_PERCENTILE")</f>
        <v>53.22</v>
      </c>
      <c r="F85" s="5" cm="1">
        <f t="array" ref="F85">IFERROR(_xll.BDP($A85,"UD_OPERATING_QUALITY_FP"),50)</f>
        <v>43.85</v>
      </c>
      <c r="G85" s="4" cm="1">
        <f t="array" ref="G85">_xll.BDP($A85,"UD_OPERATING_QUALITY_RANK")</f>
        <v>27</v>
      </c>
      <c r="H85" s="4" cm="1">
        <f t="array" ref="H85">_xll.BDP($A85,"UD_GROWTH_PERCENTILE")</f>
        <v>49.33</v>
      </c>
      <c r="I85" s="6" cm="1">
        <f t="array" ref="I85">_xll.BDP($A85,"UD_GROWTH_RANK")</f>
        <v>47</v>
      </c>
      <c r="J85" s="4" cm="1">
        <f t="array" ref="J85">_xll.BDP($A85,"UD_VALUATION_PERCENTILE")</f>
        <v>64.84</v>
      </c>
      <c r="K85" s="4" cm="1">
        <f t="array" ref="K85">_xll.BDP($A85,"UD_VALUATION_RANK")</f>
        <v>83</v>
      </c>
      <c r="L85" s="4" cm="1">
        <f t="array" ref="L85">_xll.BDP($A85,"UD_MOMENTUM_PERCENTILE")</f>
        <v>50.62</v>
      </c>
      <c r="M85" s="4" cm="1">
        <f t="array" ref="M85">_xll.BDP($A85,"UD_MOMENTUM_RANK")</f>
        <v>50</v>
      </c>
      <c r="N85" s="4" cm="1">
        <f t="array" ref="N85">_xll.BDP($A85,"UD_RISK_PERCENTILE")</f>
        <v>64.260000000000005</v>
      </c>
    </row>
    <row r="86" spans="1:14" x14ac:dyDescent="0.25">
      <c r="A86" t="str">
        <v>DGE LN Equity</v>
      </c>
      <c r="B86">
        <v>0.49994172085100003</v>
      </c>
      <c r="C86" s="3" t="str" cm="1">
        <f t="array" ref="C86">_xll.BDP(A86,"GICS_SECTOR_NAME")</f>
        <v>Consumer Staples</v>
      </c>
      <c r="D86" s="3" t="str" cm="1">
        <f t="array" ref="D86">_xll.BDP(A86,"GICS_INDUSTRY_NAME")</f>
        <v>Beverages</v>
      </c>
      <c r="E86" s="4" cm="1">
        <f t="array" ref="E86">_xll.BDP($A86,"UD_OVERALL_FACTOR_PERCENTILE")</f>
        <v>52.51</v>
      </c>
      <c r="F86" s="5" cm="1">
        <f t="array" ref="F86">IFERROR(_xll.BDP($A86,"UD_OPERATING_QUALITY_FP"),50)</f>
        <v>69.209999999999994</v>
      </c>
      <c r="G86" s="4" cm="1">
        <f t="array" ref="G86">_xll.BDP($A86,"UD_OPERATING_QUALITY_RANK")</f>
        <v>75</v>
      </c>
      <c r="H86" s="4" cm="1">
        <f t="array" ref="H86">_xll.BDP($A86,"UD_GROWTH_PERCENTILE")</f>
        <v>36.39</v>
      </c>
      <c r="I86" s="6" cm="1">
        <f t="array" ref="I86">_xll.BDP($A86,"UD_GROWTH_RANK")</f>
        <v>20</v>
      </c>
      <c r="J86" s="4" cm="1">
        <f t="array" ref="J86">_xll.BDP($A86,"UD_VALUATION_PERCENTILE")</f>
        <v>35.85</v>
      </c>
      <c r="K86" s="4" cm="1">
        <f t="array" ref="K86">_xll.BDP($A86,"UD_VALUATION_RANK")</f>
        <v>23</v>
      </c>
      <c r="L86" s="4" cm="1">
        <f t="array" ref="L86">_xll.BDP($A86,"UD_MOMENTUM_PERCENTILE")</f>
        <v>52.97</v>
      </c>
      <c r="M86" s="4" cm="1">
        <f t="array" ref="M86">_xll.BDP($A86,"UD_MOMENTUM_RANK")</f>
        <v>63</v>
      </c>
      <c r="N86" s="4" cm="1">
        <f t="array" ref="N86">_xll.BDP($A86,"UD_RISK_PERCENTILE")</f>
        <v>78.36</v>
      </c>
    </row>
    <row r="87" spans="1:14" x14ac:dyDescent="0.25">
      <c r="A87" t="str">
        <v>DHER GY Equity</v>
      </c>
      <c r="B87">
        <v>1.3262232248E-2</v>
      </c>
      <c r="C87" s="3" t="str" cm="1">
        <f t="array" ref="C87">_xll.BDP(A87,"GICS_SECTOR_NAME")</f>
        <v>Consumer Discretionary</v>
      </c>
      <c r="D87" s="3" t="str" cm="1">
        <f t="array" ref="D87">_xll.BDP(A87,"GICS_INDUSTRY_NAME")</f>
        <v>Hotels, Restaurants &amp; Leisure</v>
      </c>
      <c r="E87" s="4" cm="1">
        <f t="array" ref="E87">_xll.BDP($A87,"UD_OVERALL_FACTOR_PERCENTILE")</f>
        <v>19.399999999999999</v>
      </c>
      <c r="F87" s="5" cm="1">
        <f t="array" ref="F87">IFERROR(_xll.BDP($A87,"UD_OPERATING_QUALITY_FP"),50)</f>
        <v>5.05</v>
      </c>
      <c r="G87" s="4" cm="1">
        <f t="array" ref="G87">_xll.BDP($A87,"UD_OPERATING_QUALITY_RANK")</f>
        <v>0</v>
      </c>
      <c r="H87" s="4" cm="1">
        <f t="array" ref="H87">_xll.BDP($A87,"UD_GROWTH_PERCENTILE")</f>
        <v>78.47</v>
      </c>
      <c r="I87" s="6" cm="1">
        <f t="array" ref="I87">_xll.BDP($A87,"UD_GROWTH_RANK")</f>
        <v>96</v>
      </c>
      <c r="J87" s="4" cm="1">
        <f t="array" ref="J87">_xll.BDP($A87,"UD_VALUATION_PERCENTILE")</f>
        <v>29.97</v>
      </c>
      <c r="K87" s="4" cm="1">
        <f t="array" ref="K87">_xll.BDP($A87,"UD_VALUATION_RANK")</f>
        <v>22</v>
      </c>
      <c r="L87" s="4" cm="1">
        <f t="array" ref="L87">_xll.BDP($A87,"UD_MOMENTUM_PERCENTILE")</f>
        <v>22.85</v>
      </c>
      <c r="M87" s="4" cm="1">
        <f t="array" ref="M87">_xll.BDP($A87,"UD_MOMENTUM_RANK")</f>
        <v>8</v>
      </c>
      <c r="N87" s="4" cm="1">
        <f t="array" ref="N87">_xll.BDP($A87,"UD_RISK_PERCENTILE")</f>
        <v>15.16</v>
      </c>
    </row>
    <row r="88" spans="1:14" x14ac:dyDescent="0.25">
      <c r="A88" t="str">
        <v>DHL GY Equity</v>
      </c>
      <c r="B88">
        <v>0.44242494621599998</v>
      </c>
      <c r="C88" s="3" t="str" cm="1">
        <f t="array" ref="C88">_xll.BDP(A88,"GICS_SECTOR_NAME")</f>
        <v>Industrials</v>
      </c>
      <c r="D88" s="3" t="str" cm="1">
        <f t="array" ref="D88">_xll.BDP(A88,"GICS_INDUSTRY_NAME")</f>
        <v>Air Freight &amp; Logistics</v>
      </c>
      <c r="E88" s="4" cm="1">
        <f t="array" ref="E88">_xll.BDP($A88,"UD_OVERALL_FACTOR_PERCENTILE")</f>
        <v>51.63</v>
      </c>
      <c r="F88" s="5" cm="1">
        <f t="array" ref="F88">IFERROR(_xll.BDP($A88,"UD_OPERATING_QUALITY_FP"),50)</f>
        <v>48.65</v>
      </c>
      <c r="G88" s="4" cm="1">
        <f t="array" ref="G88">_xll.BDP($A88,"UD_OPERATING_QUALITY_RANK")</f>
        <v>36</v>
      </c>
      <c r="H88" s="4" cm="1">
        <f t="array" ref="H88">_xll.BDP($A88,"UD_GROWTH_PERCENTILE")</f>
        <v>47.74</v>
      </c>
      <c r="I88" s="6" cm="1">
        <f t="array" ref="I88">_xll.BDP($A88,"UD_GROWTH_RANK")</f>
        <v>44</v>
      </c>
      <c r="J88" s="4" cm="1">
        <f t="array" ref="J88">_xll.BDP($A88,"UD_VALUATION_PERCENTILE")</f>
        <v>57.21</v>
      </c>
      <c r="K88" s="4" cm="1">
        <f t="array" ref="K88">_xll.BDP($A88,"UD_VALUATION_RANK")</f>
        <v>70</v>
      </c>
      <c r="L88" s="4" cm="1">
        <f t="array" ref="L88">_xll.BDP($A88,"UD_MOMENTUM_PERCENTILE")</f>
        <v>48.85</v>
      </c>
      <c r="M88" s="4" cm="1">
        <f t="array" ref="M88">_xll.BDP($A88,"UD_MOMENTUM_RANK")</f>
        <v>46</v>
      </c>
      <c r="N88" s="4" cm="1">
        <f t="array" ref="N88">_xll.BDP($A88,"UD_RISK_PERCENTILE")</f>
        <v>64.36</v>
      </c>
    </row>
    <row r="89" spans="1:14" x14ac:dyDescent="0.25">
      <c r="A89" t="str">
        <v>DIE BB Equity</v>
      </c>
      <c r="B89">
        <v>0.107999075236</v>
      </c>
      <c r="C89" s="3" t="str" cm="1">
        <f t="array" ref="C89">_xll.BDP(A89,"GICS_SECTOR_NAME")</f>
        <v>Consumer Discretionary</v>
      </c>
      <c r="D89" s="3" t="str" cm="1">
        <f t="array" ref="D89">_xll.BDP(A89,"GICS_INDUSTRY_NAME")</f>
        <v>Distributors</v>
      </c>
      <c r="E89" s="4" cm="1">
        <f t="array" ref="E89">_xll.BDP($A89,"UD_OVERALL_FACTOR_PERCENTILE")</f>
        <v>40.96</v>
      </c>
      <c r="F89" s="5" cm="1">
        <f t="array" ref="F89">IFERROR(_xll.BDP($A89,"UD_OPERATING_QUALITY_FP"),50)</f>
        <v>52.13</v>
      </c>
      <c r="G89" s="4" cm="1">
        <f t="array" ref="G89">_xll.BDP($A89,"UD_OPERATING_QUALITY_RANK")</f>
        <v>44</v>
      </c>
      <c r="H89" s="4" cm="1">
        <f t="array" ref="H89">_xll.BDP($A89,"UD_GROWTH_PERCENTILE")</f>
        <v>81.739999999999995</v>
      </c>
      <c r="I89" s="6" cm="1">
        <f t="array" ref="I89">_xll.BDP($A89,"UD_GROWTH_RANK")</f>
        <v>98</v>
      </c>
      <c r="J89" s="4" cm="1">
        <f t="array" ref="J89">_xll.BDP($A89,"UD_VALUATION_PERCENTILE")</f>
        <v>32.21</v>
      </c>
      <c r="K89" s="4" cm="1">
        <f t="array" ref="K89">_xll.BDP($A89,"UD_VALUATION_RANK")</f>
        <v>24</v>
      </c>
      <c r="L89" s="4" cm="1">
        <f t="array" ref="L89">_xll.BDP($A89,"UD_MOMENTUM_PERCENTILE")</f>
        <v>38.81</v>
      </c>
      <c r="M89" s="4" cm="1">
        <f t="array" ref="M89">_xll.BDP($A89,"UD_MOMENTUM_RANK")</f>
        <v>33</v>
      </c>
      <c r="N89" s="4" cm="1">
        <f t="array" ref="N89">_xll.BDP($A89,"UD_RISK_PERCENTILE")</f>
        <v>32.76</v>
      </c>
    </row>
    <row r="90" spans="1:14" x14ac:dyDescent="0.25">
      <c r="A90" t="str">
        <v>DIM FP Equity</v>
      </c>
      <c r="B90">
        <v>1.4992261773999999E-2</v>
      </c>
      <c r="C90" s="3" t="str" cm="1">
        <f t="array" ref="C90">_xll.BDP(A90,"GICS_SECTOR_NAME")</f>
        <v>Health Care</v>
      </c>
      <c r="D90" s="3" t="str" cm="1">
        <f t="array" ref="D90">_xll.BDP(A90,"GICS_INDUSTRY_NAME")</f>
        <v>Life Sciences Tools &amp; Services</v>
      </c>
      <c r="E90" s="4" cm="1">
        <f t="array" ref="E90">_xll.BDP($A90,"UD_OVERALL_FACTOR_PERCENTILE")</f>
        <v>44.54</v>
      </c>
      <c r="F90" s="5" cm="1">
        <f t="array" ref="F90">IFERROR(_xll.BDP($A90,"UD_OPERATING_QUALITY_FP"),50)</f>
        <v>51.33</v>
      </c>
      <c r="G90" s="4" cm="1">
        <f t="array" ref="G90">_xll.BDP($A90,"UD_OPERATING_QUALITY_RANK")</f>
        <v>47</v>
      </c>
      <c r="H90" s="4" cm="1">
        <f t="array" ref="H90">_xll.BDP($A90,"UD_GROWTH_PERCENTILE")</f>
        <v>67.75</v>
      </c>
      <c r="I90" s="6" cm="1">
        <f t="array" ref="I90">_xll.BDP($A90,"UD_GROWTH_RANK")</f>
        <v>87</v>
      </c>
      <c r="J90" s="4" cm="1">
        <f t="array" ref="J90">_xll.BDP($A90,"UD_VALUATION_PERCENTILE")</f>
        <v>35.18</v>
      </c>
      <c r="K90" s="4" cm="1">
        <f t="array" ref="K90">_xll.BDP($A90,"UD_VALUATION_RANK")</f>
        <v>20</v>
      </c>
      <c r="L90" s="4" cm="1">
        <f t="array" ref="L90">_xll.BDP($A90,"UD_MOMENTUM_PERCENTILE")</f>
        <v>47.4</v>
      </c>
      <c r="M90" s="4" cm="1">
        <f t="array" ref="M90">_xll.BDP($A90,"UD_MOMENTUM_RANK")</f>
        <v>42</v>
      </c>
      <c r="N90" s="4" cm="1">
        <f t="array" ref="N90">_xll.BDP($A90,"UD_RISK_PERCENTILE")</f>
        <v>43.97</v>
      </c>
    </row>
    <row r="91" spans="1:14" x14ac:dyDescent="0.25">
      <c r="A91" t="str">
        <v>DNB NO Equity</v>
      </c>
      <c r="B91">
        <v>0.46945603881699999</v>
      </c>
      <c r="C91" s="3" t="str" cm="1">
        <f t="array" ref="C91">_xll.BDP(A91,"GICS_SECTOR_NAME")</f>
        <v>Financials</v>
      </c>
      <c r="D91" s="3" t="str" cm="1">
        <f t="array" ref="D91">_xll.BDP(A91,"GICS_INDUSTRY_NAME")</f>
        <v>Banks</v>
      </c>
      <c r="E91" s="4" cm="1">
        <f t="array" ref="E91">_xll.BDP($A91,"UD_OVERALL_FACTOR_PERCENTILE")</f>
        <v>48.97</v>
      </c>
      <c r="F91" s="5" cm="1">
        <f t="array" ref="F91">IFERROR(_xll.BDP($A91,"UD_OPERATING_QUALITY_FP"),50)</f>
        <v>63.73</v>
      </c>
      <c r="G91" s="4" cm="1">
        <f t="array" ref="G91">_xll.BDP($A91,"UD_OPERATING_QUALITY_RANK")</f>
        <v>79</v>
      </c>
      <c r="H91" s="4" cm="1">
        <f t="array" ref="H91">_xll.BDP($A91,"UD_GROWTH_PERCENTILE")</f>
        <v>55.01</v>
      </c>
      <c r="I91" s="6" cm="1">
        <f t="array" ref="I91">_xll.BDP($A91,"UD_GROWTH_RANK")</f>
        <v>62</v>
      </c>
      <c r="J91" s="4" cm="1">
        <f t="array" ref="J91">_xll.BDP($A91,"UD_VALUATION_PERCENTILE")</f>
        <v>50.51</v>
      </c>
      <c r="K91" s="4" cm="1">
        <f t="array" ref="K91">_xll.BDP($A91,"UD_VALUATION_RANK")</f>
        <v>56</v>
      </c>
      <c r="L91" s="4" cm="1">
        <f t="array" ref="L91">_xll.BDP($A91,"UD_MOMENTUM_PERCENTILE")</f>
        <v>32.630000000000003</v>
      </c>
      <c r="M91" s="4" cm="1">
        <f t="array" ref="M91">_xll.BDP($A91,"UD_MOMENTUM_RANK")</f>
        <v>14</v>
      </c>
      <c r="N91" s="4" cm="1">
        <f t="array" ref="N91">_xll.BDP($A91,"UD_RISK_PERCENTILE")</f>
        <v>53.09</v>
      </c>
    </row>
    <row r="92" spans="1:14" x14ac:dyDescent="0.25">
      <c r="A92" t="str">
        <v>DSFIR NA Equity</v>
      </c>
      <c r="B92">
        <v>0.19817228247499999</v>
      </c>
      <c r="C92" s="3" t="str" cm="1">
        <f t="array" ref="C92">_xll.BDP(A92,"GICS_SECTOR_NAME")</f>
        <v>Materials</v>
      </c>
      <c r="D92" s="3" t="str" cm="1">
        <f t="array" ref="D92">_xll.BDP(A92,"GICS_INDUSTRY_NAME")</f>
        <v>Chemicals</v>
      </c>
      <c r="E92" s="4" cm="1">
        <f t="array" ref="E92">_xll.BDP($A92,"UD_OVERALL_FACTOR_PERCENTILE")</f>
        <v>38.67</v>
      </c>
      <c r="F92" s="5" cm="1">
        <f t="array" ref="F92">IFERROR(_xll.BDP($A92,"UD_OPERATING_QUALITY_FP"),50)</f>
        <v>38</v>
      </c>
      <c r="G92" s="4" cm="1">
        <f t="array" ref="G92">_xll.BDP($A92,"UD_OPERATING_QUALITY_RANK")</f>
        <v>27</v>
      </c>
      <c r="H92" s="4" cm="1">
        <f t="array" ref="H92">_xll.BDP($A92,"UD_GROWTH_PERCENTILE")</f>
        <v>50.63</v>
      </c>
      <c r="I92" s="6" cm="1">
        <f t="array" ref="I92">_xll.BDP($A92,"UD_GROWTH_RANK")</f>
        <v>51</v>
      </c>
      <c r="J92" s="4" cm="1">
        <f t="array" ref="J92">_xll.BDP($A92,"UD_VALUATION_PERCENTILE")</f>
        <v>36.32</v>
      </c>
      <c r="K92" s="4" cm="1">
        <f t="array" ref="K92">_xll.BDP($A92,"UD_VALUATION_RANK")</f>
        <v>28</v>
      </c>
      <c r="L92" s="4" cm="1">
        <f t="array" ref="L92">_xll.BDP($A92,"UD_MOMENTUM_PERCENTILE")</f>
        <v>41.78</v>
      </c>
      <c r="M92" s="4" cm="1">
        <f t="array" ref="M92">_xll.BDP($A92,"UD_MOMENTUM_RANK")</f>
        <v>32</v>
      </c>
      <c r="N92" s="4" cm="1">
        <f t="array" ref="N92">_xll.BDP($A92,"UD_RISK_PERCENTILE")</f>
        <v>71.37</v>
      </c>
    </row>
    <row r="93" spans="1:14" x14ac:dyDescent="0.25">
      <c r="A93" t="str">
        <v>DSV DC Equity</v>
      </c>
      <c r="B93">
        <v>0.41158396582700002</v>
      </c>
      <c r="C93" s="3" t="str" cm="1">
        <f t="array" ref="C93">_xll.BDP(A93,"GICS_SECTOR_NAME")</f>
        <v>Industrials</v>
      </c>
      <c r="D93" s="3" t="str" cm="1">
        <f t="array" ref="D93">_xll.BDP(A93,"GICS_INDUSTRY_NAME")</f>
        <v>Air Freight &amp; Logistics</v>
      </c>
      <c r="E93" s="4" cm="1">
        <f t="array" ref="E93">_xll.BDP($A93,"UD_OVERALL_FACTOR_PERCENTILE")</f>
        <v>46.95</v>
      </c>
      <c r="F93" s="5" cm="1">
        <f t="array" ref="F93">IFERROR(_xll.BDP($A93,"UD_OPERATING_QUALITY_FP"),50)</f>
        <v>70.260000000000005</v>
      </c>
      <c r="G93" s="4" cm="1">
        <f t="array" ref="G93">_xll.BDP($A93,"UD_OPERATING_QUALITY_RANK")</f>
        <v>73</v>
      </c>
      <c r="H93" s="4" cm="1">
        <f t="array" ref="H93">_xll.BDP($A93,"UD_GROWTH_PERCENTILE")</f>
        <v>56.48</v>
      </c>
      <c r="I93" s="6" cm="1">
        <f t="array" ref="I93">_xll.BDP($A93,"UD_GROWTH_RANK")</f>
        <v>65</v>
      </c>
      <c r="J93" s="4" cm="1">
        <f t="array" ref="J93">_xll.BDP($A93,"UD_VALUATION_PERCENTILE")</f>
        <v>29.37</v>
      </c>
      <c r="K93" s="4" cm="1">
        <f t="array" ref="K93">_xll.BDP($A93,"UD_VALUATION_RANK")</f>
        <v>26</v>
      </c>
      <c r="L93" s="4" cm="1">
        <f t="array" ref="L93">_xll.BDP($A93,"UD_MOMENTUM_PERCENTILE")</f>
        <v>41.74</v>
      </c>
      <c r="M93" s="4" cm="1">
        <f t="array" ref="M93">_xll.BDP($A93,"UD_MOMENTUM_RANK")</f>
        <v>33</v>
      </c>
      <c r="N93" s="4" cm="1">
        <f t="array" ref="N93">_xll.BDP($A93,"UD_RISK_PERCENTILE")</f>
        <v>68.58</v>
      </c>
    </row>
    <row r="94" spans="1:14" x14ac:dyDescent="0.25">
      <c r="A94" t="str">
        <v>DSY FP Equity</v>
      </c>
      <c r="B94">
        <v>0.25933547578499999</v>
      </c>
      <c r="C94" s="3" t="str" cm="1">
        <f t="array" ref="C94">_xll.BDP(A94,"GICS_SECTOR_NAME")</f>
        <v>Information Technology</v>
      </c>
      <c r="D94" s="3" t="str" cm="1">
        <f t="array" ref="D94">_xll.BDP(A94,"GICS_INDUSTRY_NAME")</f>
        <v>Software</v>
      </c>
      <c r="E94" s="4" cm="1">
        <f t="array" ref="E94">_xll.BDP($A94,"UD_OVERALL_FACTOR_PERCENTILE")</f>
        <v>46.27</v>
      </c>
      <c r="F94" s="5" cm="1">
        <f t="array" ref="F94">IFERROR(_xll.BDP($A94,"UD_OPERATING_QUALITY_FP"),50)</f>
        <v>56.76</v>
      </c>
      <c r="G94" s="4" cm="1">
        <f t="array" ref="G94">_xll.BDP($A94,"UD_OPERATING_QUALITY_RANK")</f>
        <v>55</v>
      </c>
      <c r="H94" s="4" cm="1">
        <f t="array" ref="H94">_xll.BDP($A94,"UD_GROWTH_PERCENTILE")</f>
        <v>57.22</v>
      </c>
      <c r="I94" s="6" cm="1">
        <f t="array" ref="I94">_xll.BDP($A94,"UD_GROWTH_RANK")</f>
        <v>67</v>
      </c>
      <c r="J94" s="4" cm="1">
        <f t="array" ref="J94">_xll.BDP($A94,"UD_VALUATION_PERCENTILE")</f>
        <v>43.15</v>
      </c>
      <c r="K94" s="4" cm="1">
        <f t="array" ref="K94">_xll.BDP($A94,"UD_VALUATION_RANK")</f>
        <v>43</v>
      </c>
      <c r="L94" s="4" cm="1">
        <f t="array" ref="L94">_xll.BDP($A94,"UD_MOMENTUM_PERCENTILE")</f>
        <v>38.99</v>
      </c>
      <c r="M94" s="4" cm="1">
        <f t="array" ref="M94">_xll.BDP($A94,"UD_MOMENTUM_RANK")</f>
        <v>36</v>
      </c>
      <c r="N94" s="4" cm="1">
        <f t="array" ref="N94">_xll.BDP($A94,"UD_RISK_PERCENTILE")</f>
        <v>72.25</v>
      </c>
    </row>
    <row r="95" spans="1:14" x14ac:dyDescent="0.25">
      <c r="A95" t="str">
        <v>DTE GY Equity</v>
      </c>
      <c r="B95">
        <v>0.89767498192799999</v>
      </c>
      <c r="C95" s="3" t="str" cm="1">
        <f t="array" ref="C95">_xll.BDP(A95,"GICS_SECTOR_NAME")</f>
        <v>Communication Services</v>
      </c>
      <c r="D95" s="3" t="str" cm="1">
        <f t="array" ref="D95">_xll.BDP(A95,"GICS_INDUSTRY_NAME")</f>
        <v>Diversified Telecommunication</v>
      </c>
      <c r="E95" s="4" cm="1">
        <f t="array" ref="E95">_xll.BDP($A95,"UD_OVERALL_FACTOR_PERCENTILE")</f>
        <v>55.74</v>
      </c>
      <c r="F95" s="5" cm="1">
        <f t="array" ref="F95">IFERROR(_xll.BDP($A95,"UD_OPERATING_QUALITY_FP"),50)</f>
        <v>52.98</v>
      </c>
      <c r="G95" s="4" cm="1">
        <f t="array" ref="G95">_xll.BDP($A95,"UD_OPERATING_QUALITY_RANK")</f>
        <v>48</v>
      </c>
      <c r="H95" s="4" cm="1">
        <f t="array" ref="H95">_xll.BDP($A95,"UD_GROWTH_PERCENTILE")</f>
        <v>42.38</v>
      </c>
      <c r="I95" s="6" cm="1">
        <f t="array" ref="I95">_xll.BDP($A95,"UD_GROWTH_RANK")</f>
        <v>32</v>
      </c>
      <c r="J95" s="4" cm="1">
        <f t="array" ref="J95">_xll.BDP($A95,"UD_VALUATION_PERCENTILE")</f>
        <v>62.94</v>
      </c>
      <c r="K95" s="4" cm="1">
        <f t="array" ref="K95">_xll.BDP($A95,"UD_VALUATION_RANK")</f>
        <v>72</v>
      </c>
      <c r="L95" s="4" cm="1">
        <f t="array" ref="L95">_xll.BDP($A95,"UD_MOMENTUM_PERCENTILE")</f>
        <v>51.07</v>
      </c>
      <c r="M95" s="4" cm="1">
        <f t="array" ref="M95">_xll.BDP($A95,"UD_MOMENTUM_RANK")</f>
        <v>57</v>
      </c>
      <c r="N95" s="4" cm="1">
        <f t="array" ref="N95">_xll.BDP($A95,"UD_RISK_PERCENTILE")</f>
        <v>78.34</v>
      </c>
    </row>
    <row r="96" spans="1:14" x14ac:dyDescent="0.25">
      <c r="A96" t="str">
        <v>DTG GY Equity</v>
      </c>
      <c r="B96">
        <v>0.34950700968100001</v>
      </c>
      <c r="C96" s="3" t="str" cm="1">
        <f t="array" ref="C96">_xll.BDP(A96,"GICS_SECTOR_NAME")</f>
        <v>Industrials</v>
      </c>
      <c r="D96" s="3" t="str" cm="1">
        <f t="array" ref="D96">_xll.BDP(A96,"GICS_INDUSTRY_NAME")</f>
        <v>Machinery</v>
      </c>
      <c r="E96" s="4" cm="1">
        <f t="array" ref="E96">_xll.BDP($A96,"UD_OVERALL_FACTOR_PERCENTILE")</f>
        <v>51.18</v>
      </c>
      <c r="F96" s="5" cm="1">
        <f t="array" ref="F96">IFERROR(_xll.BDP($A96,"UD_OPERATING_QUALITY_FP"),50)</f>
        <v>42.06</v>
      </c>
      <c r="G96" s="4" cm="1">
        <f t="array" ref="G96">_xll.BDP($A96,"UD_OPERATING_QUALITY_RANK")</f>
        <v>23</v>
      </c>
      <c r="H96" s="4" cm="1">
        <f t="array" ref="H96">_xll.BDP($A96,"UD_GROWTH_PERCENTILE")</f>
        <v>35.75</v>
      </c>
      <c r="I96" s="6" cm="1">
        <f t="array" ref="I96">_xll.BDP($A96,"UD_GROWTH_RANK")</f>
        <v>18</v>
      </c>
      <c r="J96" s="4" cm="1">
        <f t="array" ref="J96">_xll.BDP($A96,"UD_VALUATION_PERCENTILE")</f>
        <v>79.459999999999994</v>
      </c>
      <c r="K96" s="4" cm="1">
        <f t="array" ref="K96">_xll.BDP($A96,"UD_VALUATION_RANK")</f>
        <v>96</v>
      </c>
      <c r="L96" s="4" cm="1">
        <f t="array" ref="L96">_xll.BDP($A96,"UD_MOMENTUM_PERCENTILE")</f>
        <v>31.17</v>
      </c>
      <c r="M96" s="4" cm="1">
        <f t="array" ref="M96">_xll.BDP($A96,"UD_MOMENTUM_RANK")</f>
        <v>13</v>
      </c>
      <c r="N96" s="4" cm="1">
        <f t="array" ref="N96">_xll.BDP($A96,"UD_RISK_PERCENTILE")</f>
        <v>31.63</v>
      </c>
    </row>
    <row r="97" spans="1:14" x14ac:dyDescent="0.25">
      <c r="A97" t="str">
        <v>EBS AV Equity</v>
      </c>
      <c r="B97">
        <v>0.20750596528500001</v>
      </c>
      <c r="C97" s="3" t="str" cm="1">
        <f t="array" ref="C97">_xll.BDP(A97,"GICS_SECTOR_NAME")</f>
        <v>Financials</v>
      </c>
      <c r="D97" s="3" t="str" cm="1">
        <f t="array" ref="D97">_xll.BDP(A97,"GICS_INDUSTRY_NAME")</f>
        <v>Banks</v>
      </c>
      <c r="E97" s="4" cm="1">
        <f t="array" ref="E97">_xll.BDP($A97,"UD_OVERALL_FACTOR_PERCENTILE")</f>
        <v>49.94</v>
      </c>
      <c r="F97" s="5" cm="1">
        <f t="array" ref="F97">IFERROR(_xll.BDP($A97,"UD_OPERATING_QUALITY_FP"),50)</f>
        <v>49.85</v>
      </c>
      <c r="G97" s="4" cm="1">
        <f t="array" ref="G97">_xll.BDP($A97,"UD_OPERATING_QUALITY_RANK")</f>
        <v>50</v>
      </c>
      <c r="H97" s="4" cm="1">
        <f t="array" ref="H97">_xll.BDP($A97,"UD_GROWTH_PERCENTILE")</f>
        <v>68.75</v>
      </c>
      <c r="I97" s="6" cm="1">
        <f t="array" ref="I97">_xll.BDP($A97,"UD_GROWTH_RANK")</f>
        <v>88</v>
      </c>
      <c r="J97" s="4" cm="1">
        <f t="array" ref="J97">_xll.BDP($A97,"UD_VALUATION_PERCENTILE")</f>
        <v>41.87</v>
      </c>
      <c r="K97" s="4" cm="1">
        <f t="array" ref="K97">_xll.BDP($A97,"UD_VALUATION_RANK")</f>
        <v>36</v>
      </c>
      <c r="L97" s="4" cm="1">
        <f t="array" ref="L97">_xll.BDP($A97,"UD_MOMENTUM_PERCENTILE")</f>
        <v>58.35</v>
      </c>
      <c r="M97" s="4" cm="1">
        <f t="array" ref="M97">_xll.BDP($A97,"UD_MOMENTUM_RANK")</f>
        <v>65</v>
      </c>
      <c r="N97" s="4" cm="1">
        <f t="array" ref="N97">_xll.BDP($A97,"UD_RISK_PERCENTILE")</f>
        <v>40.090000000000003</v>
      </c>
    </row>
    <row r="98" spans="1:14" x14ac:dyDescent="0.25">
      <c r="A98" t="str">
        <v>EDEN FP Equity</v>
      </c>
      <c r="B98">
        <v>3.7353849575E-2</v>
      </c>
      <c r="C98" s="3" t="str" cm="1">
        <f t="array" ref="C98">_xll.BDP(A98,"GICS_SECTOR_NAME")</f>
        <v>Financials</v>
      </c>
      <c r="D98" s="3" t="str" cm="1">
        <f t="array" ref="D98">_xll.BDP(A98,"GICS_INDUSTRY_NAME")</f>
        <v>Financial Services</v>
      </c>
      <c r="E98" s="4" cm="1">
        <f t="array" ref="E98">_xll.BDP($A98,"UD_OVERALL_FACTOR_PERCENTILE")</f>
        <v>43.15</v>
      </c>
      <c r="F98" s="5" cm="1">
        <f t="array" ref="F98">IFERROR(_xll.BDP($A98,"UD_OPERATING_QUALITY_FP"),50)</f>
        <v>76.97</v>
      </c>
      <c r="G98" s="4" cm="1">
        <f t="array" ref="G98">_xll.BDP($A98,"UD_OPERATING_QUALITY_RANK")</f>
        <v>97</v>
      </c>
      <c r="H98" s="4" cm="1">
        <f t="array" ref="H98">_xll.BDP($A98,"UD_GROWTH_PERCENTILE")</f>
        <v>62.75</v>
      </c>
      <c r="I98" s="6" cm="1">
        <f t="array" ref="I98">_xll.BDP($A98,"UD_GROWTH_RANK")</f>
        <v>78</v>
      </c>
      <c r="J98" s="4" cm="1">
        <f t="array" ref="J98">_xll.BDP($A98,"UD_VALUATION_PERCENTILE")</f>
        <v>41.36</v>
      </c>
      <c r="K98" s="4" cm="1">
        <f t="array" ref="K98">_xll.BDP($A98,"UD_VALUATION_RANK")</f>
        <v>40</v>
      </c>
      <c r="L98" s="4" cm="1">
        <f t="array" ref="L98">_xll.BDP($A98,"UD_MOMENTUM_PERCENTILE")</f>
        <v>11.17</v>
      </c>
      <c r="M98" s="4" cm="1">
        <f t="array" ref="M98">_xll.BDP($A98,"UD_MOMENTUM_RANK")</f>
        <v>3</v>
      </c>
      <c r="N98" s="4" cm="1">
        <f t="array" ref="N98">_xll.BDP($A98,"UD_RISK_PERCENTILE")</f>
        <v>68.64</v>
      </c>
    </row>
    <row r="99" spans="1:14" x14ac:dyDescent="0.25">
      <c r="A99" t="str">
        <v>EDP PL Equity</v>
      </c>
      <c r="B99">
        <v>0.32178597128699998</v>
      </c>
      <c r="C99" s="3" t="str" cm="1">
        <f t="array" ref="C99">_xll.BDP(A99,"GICS_SECTOR_NAME")</f>
        <v>Utilities</v>
      </c>
      <c r="D99" s="3" t="str" cm="1">
        <f t="array" ref="D99">_xll.BDP(A99,"GICS_INDUSTRY_NAME")</f>
        <v>Electric Utilities</v>
      </c>
      <c r="E99" s="4" cm="1">
        <f t="array" ref="E99">_xll.BDP($A99,"UD_OVERALL_FACTOR_PERCENTILE")</f>
        <v>49.36</v>
      </c>
      <c r="F99" s="5" cm="1">
        <f t="array" ref="F99">IFERROR(_xll.BDP($A99,"UD_OPERATING_QUALITY_FP"),50)</f>
        <v>51.54</v>
      </c>
      <c r="G99" s="4" cm="1">
        <f t="array" ref="G99">_xll.BDP($A99,"UD_OPERATING_QUALITY_RANK")</f>
        <v>53</v>
      </c>
      <c r="H99" s="4" cm="1">
        <f t="array" ref="H99">_xll.BDP($A99,"UD_GROWTH_PERCENTILE")</f>
        <v>36.799999999999997</v>
      </c>
      <c r="I99" s="6" cm="1">
        <f t="array" ref="I99">_xll.BDP($A99,"UD_GROWTH_RANK")</f>
        <v>20</v>
      </c>
      <c r="J99" s="4" cm="1">
        <f t="array" ref="J99">_xll.BDP($A99,"UD_VALUATION_PERCENTILE")</f>
        <v>48.57</v>
      </c>
      <c r="K99" s="4" cm="1">
        <f t="array" ref="K99">_xll.BDP($A99,"UD_VALUATION_RANK")</f>
        <v>37</v>
      </c>
      <c r="L99" s="4" cm="1">
        <f t="array" ref="L99">_xll.BDP($A99,"UD_MOMENTUM_PERCENTILE")</f>
        <v>48</v>
      </c>
      <c r="M99" s="4" cm="1">
        <f t="array" ref="M99">_xll.BDP($A99,"UD_MOMENTUM_RANK")</f>
        <v>11</v>
      </c>
      <c r="N99" s="4" cm="1">
        <f t="array" ref="N99">_xll.BDP($A99,"UD_RISK_PERCENTILE")</f>
        <v>75.930000000000007</v>
      </c>
    </row>
    <row r="100" spans="1:14" x14ac:dyDescent="0.25">
      <c r="A100" t="str">
        <v>EDPR PL Equity</v>
      </c>
      <c r="B100">
        <v>4.5240660702000002E-2</v>
      </c>
      <c r="C100" s="3" t="str" cm="1">
        <f t="array" ref="C100">_xll.BDP(A100,"GICS_SECTOR_NAME")</f>
        <v>Utilities</v>
      </c>
      <c r="D100" s="3" t="str" cm="1">
        <f t="array" ref="D100">_xll.BDP(A100,"GICS_INDUSTRY_NAME")</f>
        <v>Independent Power and Renewabl</v>
      </c>
      <c r="E100" s="4" cm="1">
        <f t="array" ref="E100">_xll.BDP($A100,"UD_OVERALL_FACTOR_PERCENTILE")</f>
        <v>27</v>
      </c>
      <c r="F100" s="5" cm="1">
        <f t="array" ref="F100">IFERROR(_xll.BDP($A100,"UD_OPERATING_QUALITY_FP"),50)</f>
        <v>30.99</v>
      </c>
      <c r="G100" s="4" cm="1">
        <f t="array" ref="G100">_xll.BDP($A100,"UD_OPERATING_QUALITY_RANK")</f>
        <v>10</v>
      </c>
      <c r="H100" s="4" cm="1">
        <f t="array" ref="H100">_xll.BDP($A100,"UD_GROWTH_PERCENTILE")</f>
        <v>60.99</v>
      </c>
      <c r="I100" s="6" cm="1">
        <f t="array" ref="I100">_xll.BDP($A100,"UD_GROWTH_RANK")</f>
        <v>75</v>
      </c>
      <c r="J100" s="4" cm="1">
        <f t="array" ref="J100">_xll.BDP($A100,"UD_VALUATION_PERCENTILE")</f>
        <v>23.96</v>
      </c>
      <c r="K100" s="4" cm="1">
        <f t="array" ref="K100">_xll.BDP($A100,"UD_VALUATION_RANK")</f>
        <v>5</v>
      </c>
      <c r="L100" s="4" cm="1">
        <f t="array" ref="L100">_xll.BDP($A100,"UD_MOMENTUM_PERCENTILE")</f>
        <v>26.14</v>
      </c>
      <c r="M100" s="4" cm="1">
        <f t="array" ref="M100">_xll.BDP($A100,"UD_MOMENTUM_RANK")</f>
        <v>0</v>
      </c>
      <c r="N100" s="4" cm="1">
        <f t="array" ref="N100">_xll.BDP($A100,"UD_RISK_PERCENTILE")</f>
        <v>30.13</v>
      </c>
    </row>
    <row r="101" spans="1:14" x14ac:dyDescent="0.25">
      <c r="A101" t="str">
        <v>EL FP Equity</v>
      </c>
      <c r="B101">
        <v>0.84642789183099998</v>
      </c>
      <c r="C101" s="3" t="str" cm="1">
        <f t="array" ref="C101">_xll.BDP(A101,"GICS_SECTOR_NAME")</f>
        <v>Health Care</v>
      </c>
      <c r="D101" s="3" t="str" cm="1">
        <f t="array" ref="D101">_xll.BDP(A101,"GICS_INDUSTRY_NAME")</f>
        <v>Health Care Equipment &amp; Suppli</v>
      </c>
      <c r="E101" s="4" cm="1">
        <f t="array" ref="E101">_xll.BDP($A101,"UD_OVERALL_FACTOR_PERCENTILE")</f>
        <v>47.08</v>
      </c>
      <c r="F101" s="5" cm="1">
        <f t="array" ref="F101">IFERROR(_xll.BDP($A101,"UD_OPERATING_QUALITY_FP"),50)</f>
        <v>65.12</v>
      </c>
      <c r="G101" s="4" cm="1">
        <f t="array" ref="G101">_xll.BDP($A101,"UD_OPERATING_QUALITY_RANK")</f>
        <v>75</v>
      </c>
      <c r="H101" s="4" cm="1">
        <f t="array" ref="H101">_xll.BDP($A101,"UD_GROWTH_PERCENTILE")</f>
        <v>57.8</v>
      </c>
      <c r="I101" s="6" cm="1">
        <f t="array" ref="I101">_xll.BDP($A101,"UD_GROWTH_RANK")</f>
        <v>68</v>
      </c>
      <c r="J101" s="4" cm="1">
        <f t="array" ref="J101">_xll.BDP($A101,"UD_VALUATION_PERCENTILE")</f>
        <v>27.72</v>
      </c>
      <c r="K101" s="4" cm="1">
        <f t="array" ref="K101">_xll.BDP($A101,"UD_VALUATION_RANK")</f>
        <v>8</v>
      </c>
      <c r="L101" s="4" cm="1">
        <f t="array" ref="L101">_xll.BDP($A101,"UD_MOMENTUM_PERCENTILE")</f>
        <v>49</v>
      </c>
      <c r="M101" s="4" cm="1">
        <f t="array" ref="M101">_xll.BDP($A101,"UD_MOMENTUM_RANK")</f>
        <v>48</v>
      </c>
      <c r="N101" s="4" cm="1">
        <f t="array" ref="N101">_xll.BDP($A101,"UD_RISK_PERCENTILE")</f>
        <v>67.94</v>
      </c>
    </row>
    <row r="102" spans="1:14" x14ac:dyDescent="0.25">
      <c r="A102" t="str">
        <v>ELE SM Equity</v>
      </c>
      <c r="B102">
        <v>4.7683222880999999E-2</v>
      </c>
      <c r="C102" s="3" t="str" cm="1">
        <f t="array" ref="C102">_xll.BDP(A102,"GICS_SECTOR_NAME")</f>
        <v>Utilities</v>
      </c>
      <c r="D102" s="3" t="str" cm="1">
        <f t="array" ref="D102">_xll.BDP(A102,"GICS_INDUSTRY_NAME")</f>
        <v>Electric Utilities</v>
      </c>
      <c r="E102" s="4" cm="1">
        <f t="array" ref="E102">_xll.BDP($A102,"UD_OVERALL_FACTOR_PERCENTILE")</f>
        <v>53.49</v>
      </c>
      <c r="F102" s="5" cm="1">
        <f t="array" ref="F102">IFERROR(_xll.BDP($A102,"UD_OPERATING_QUALITY_FP"),50)</f>
        <v>45.85</v>
      </c>
      <c r="G102" s="4" cm="1">
        <f t="array" ref="G102">_xll.BDP($A102,"UD_OPERATING_QUALITY_RANK")</f>
        <v>32</v>
      </c>
      <c r="H102" s="4" cm="1">
        <f t="array" ref="H102">_xll.BDP($A102,"UD_GROWTH_PERCENTILE")</f>
        <v>34.840000000000003</v>
      </c>
      <c r="I102" s="6" cm="1">
        <f t="array" ref="I102">_xll.BDP($A102,"UD_GROWTH_RANK")</f>
        <v>16</v>
      </c>
      <c r="J102" s="4" cm="1">
        <f t="array" ref="J102">_xll.BDP($A102,"UD_VALUATION_PERCENTILE")</f>
        <v>57.02</v>
      </c>
      <c r="K102" s="4" cm="1">
        <f t="array" ref="K102">_xll.BDP($A102,"UD_VALUATION_RANK")</f>
        <v>74</v>
      </c>
      <c r="L102" s="4" cm="1">
        <f t="array" ref="L102">_xll.BDP($A102,"UD_MOMENTUM_PERCENTILE")</f>
        <v>57.48</v>
      </c>
      <c r="M102" s="4" cm="1">
        <f t="array" ref="M102">_xll.BDP($A102,"UD_MOMENTUM_RANK")</f>
        <v>90</v>
      </c>
      <c r="N102" s="4" cm="1">
        <f t="array" ref="N102">_xll.BDP($A102,"UD_RISK_PERCENTILE")</f>
        <v>88.56</v>
      </c>
    </row>
    <row r="103" spans="1:14" x14ac:dyDescent="0.25">
      <c r="A103" t="str">
        <v>EN FP Equity</v>
      </c>
      <c r="B103">
        <v>0.232585802944</v>
      </c>
      <c r="C103" s="3" t="str" cm="1">
        <f t="array" ref="C103">_xll.BDP(A103,"GICS_SECTOR_NAME")</f>
        <v>Industrials</v>
      </c>
      <c r="D103" s="3" t="str" cm="1">
        <f t="array" ref="D103">_xll.BDP(A103,"GICS_INDUSTRY_NAME")</f>
        <v>Construction &amp; Engineering</v>
      </c>
      <c r="E103" s="4" cm="1">
        <f t="array" ref="E103">_xll.BDP($A103,"UD_OVERALL_FACTOR_PERCENTILE")</f>
        <v>58.99</v>
      </c>
      <c r="F103" s="5" cm="1">
        <f t="array" ref="F103">IFERROR(_xll.BDP($A103,"UD_OPERATING_QUALITY_FP"),50)</f>
        <v>50.59</v>
      </c>
      <c r="G103" s="4" cm="1">
        <f t="array" ref="G103">_xll.BDP($A103,"UD_OPERATING_QUALITY_RANK")</f>
        <v>41</v>
      </c>
      <c r="H103" s="4" cm="1">
        <f t="array" ref="H103">_xll.BDP($A103,"UD_GROWTH_PERCENTILE")</f>
        <v>40.700000000000003</v>
      </c>
      <c r="I103" s="6" cm="1">
        <f t="array" ref="I103">_xll.BDP($A103,"UD_GROWTH_RANK")</f>
        <v>29</v>
      </c>
      <c r="J103" s="4" cm="1">
        <f t="array" ref="J103">_xll.BDP($A103,"UD_VALUATION_PERCENTILE")</f>
        <v>73.040000000000006</v>
      </c>
      <c r="K103" s="4" cm="1">
        <f t="array" ref="K103">_xll.BDP($A103,"UD_VALUATION_RANK")</f>
        <v>92</v>
      </c>
      <c r="L103" s="4" cm="1">
        <f t="array" ref="L103">_xll.BDP($A103,"UD_MOMENTUM_PERCENTILE")</f>
        <v>52.92</v>
      </c>
      <c r="M103" s="4" cm="1">
        <f t="array" ref="M103">_xll.BDP($A103,"UD_MOMENTUM_RANK")</f>
        <v>55</v>
      </c>
      <c r="N103" s="4" cm="1">
        <f t="array" ref="N103">_xll.BDP($A103,"UD_RISK_PERCENTILE")</f>
        <v>70.739999999999995</v>
      </c>
    </row>
    <row r="104" spans="1:14" x14ac:dyDescent="0.25">
      <c r="A104" t="str">
        <v>ENEL IM Equity</v>
      </c>
      <c r="B104">
        <v>0.42950250070700002</v>
      </c>
      <c r="C104" s="3" t="str" cm="1">
        <f t="array" ref="C104">_xll.BDP(A104,"GICS_SECTOR_NAME")</f>
        <v>Utilities</v>
      </c>
      <c r="D104" s="3" t="str" cm="1">
        <f t="array" ref="D104">_xll.BDP(A104,"GICS_INDUSTRY_NAME")</f>
        <v>Electric Utilities</v>
      </c>
      <c r="E104" s="4" cm="1">
        <f t="array" ref="E104">_xll.BDP($A104,"UD_OVERALL_FACTOR_PERCENTILE")</f>
        <v>55.38</v>
      </c>
      <c r="F104" s="5" cm="1">
        <f t="array" ref="F104">IFERROR(_xll.BDP($A104,"UD_OPERATING_QUALITY_FP"),50)</f>
        <v>52.19</v>
      </c>
      <c r="G104" s="4" cm="1">
        <f t="array" ref="G104">_xll.BDP($A104,"UD_OPERATING_QUALITY_RANK")</f>
        <v>58</v>
      </c>
      <c r="H104" s="4" cm="1">
        <f t="array" ref="H104">_xll.BDP($A104,"UD_GROWTH_PERCENTILE")</f>
        <v>34.729999999999997</v>
      </c>
      <c r="I104" s="6" cm="1">
        <f t="array" ref="I104">_xll.BDP($A104,"UD_GROWTH_RANK")</f>
        <v>16</v>
      </c>
      <c r="J104" s="4" cm="1">
        <f t="array" ref="J104">_xll.BDP($A104,"UD_VALUATION_PERCENTILE")</f>
        <v>60.16</v>
      </c>
      <c r="K104" s="4" cm="1">
        <f t="array" ref="K104">_xll.BDP($A104,"UD_VALUATION_RANK")</f>
        <v>90</v>
      </c>
      <c r="L104" s="4" cm="1">
        <f t="array" ref="L104">_xll.BDP($A104,"UD_MOMENTUM_PERCENTILE")</f>
        <v>53.64</v>
      </c>
      <c r="M104" s="4" cm="1">
        <f t="array" ref="M104">_xll.BDP($A104,"UD_MOMENTUM_RANK")</f>
        <v>74</v>
      </c>
      <c r="N104" s="4" cm="1">
        <f t="array" ref="N104">_xll.BDP($A104,"UD_RISK_PERCENTILE")</f>
        <v>80.09</v>
      </c>
    </row>
    <row r="105" spans="1:14" x14ac:dyDescent="0.25">
      <c r="A105" t="str">
        <v>ENGI FP Equity</v>
      </c>
      <c r="B105">
        <v>0.41506429067799999</v>
      </c>
      <c r="C105" s="3" t="str" cm="1">
        <f t="array" ref="C105">_xll.BDP(A105,"GICS_SECTOR_NAME")</f>
        <v>Utilities</v>
      </c>
      <c r="D105" s="3" t="str" cm="1">
        <f t="array" ref="D105">_xll.BDP(A105,"GICS_INDUSTRY_NAME")</f>
        <v>Multi-Utilities</v>
      </c>
      <c r="E105" s="4" cm="1">
        <f t="array" ref="E105">_xll.BDP($A105,"UD_OVERALL_FACTOR_PERCENTILE")</f>
        <v>52.3</v>
      </c>
      <c r="F105" s="5" cm="1">
        <f t="array" ref="F105">IFERROR(_xll.BDP($A105,"UD_OPERATING_QUALITY_FP"),50)</f>
        <v>51.22</v>
      </c>
      <c r="G105" s="4" cm="1">
        <f t="array" ref="G105">_xll.BDP($A105,"UD_OPERATING_QUALITY_RANK")</f>
        <v>55</v>
      </c>
      <c r="H105" s="4" cm="1">
        <f t="array" ref="H105">_xll.BDP($A105,"UD_GROWTH_PERCENTILE")</f>
        <v>40.39</v>
      </c>
      <c r="I105" s="6" cm="1">
        <f t="array" ref="I105">_xll.BDP($A105,"UD_GROWTH_RANK")</f>
        <v>28</v>
      </c>
      <c r="J105" s="4" cm="1">
        <f t="array" ref="J105">_xll.BDP($A105,"UD_VALUATION_PERCENTILE")</f>
        <v>60.8</v>
      </c>
      <c r="K105" s="4" cm="1">
        <f t="array" ref="K105">_xll.BDP($A105,"UD_VALUATION_RANK")</f>
        <v>80</v>
      </c>
      <c r="L105" s="4" cm="1">
        <f t="array" ref="L105">_xll.BDP($A105,"UD_MOMENTUM_PERCENTILE")</f>
        <v>44.62</v>
      </c>
      <c r="M105" s="4" cm="1">
        <f t="array" ref="M105">_xll.BDP($A105,"UD_MOMENTUM_RANK")</f>
        <v>55</v>
      </c>
      <c r="N105" s="4" cm="1">
        <f t="array" ref="N105">_xll.BDP($A105,"UD_RISK_PERCENTILE")</f>
        <v>79.73</v>
      </c>
    </row>
    <row r="106" spans="1:14" x14ac:dyDescent="0.25">
      <c r="A106" t="str">
        <v>ENR GY Equity</v>
      </c>
      <c r="B106">
        <v>0.60111889577699995</v>
      </c>
      <c r="C106" s="3" t="str" cm="1">
        <f t="array" ref="C106">_xll.BDP(A106,"GICS_SECTOR_NAME")</f>
        <v>Industrials</v>
      </c>
      <c r="D106" s="3" t="str" cm="1">
        <f t="array" ref="D106">_xll.BDP(A106,"GICS_INDUSTRY_NAME")</f>
        <v>Electrical Equipment</v>
      </c>
      <c r="E106" s="4" cm="1">
        <f t="array" ref="E106">_xll.BDP($A106,"UD_OVERALL_FACTOR_PERCENTILE")</f>
        <v>43.91</v>
      </c>
      <c r="F106" s="5" cm="1">
        <f t="array" ref="F106">IFERROR(_xll.BDP($A106,"UD_OPERATING_QUALITY_FP"),50)</f>
        <v>28.98</v>
      </c>
      <c r="G106" s="4" cm="1">
        <f t="array" ref="G106">_xll.BDP($A106,"UD_OPERATING_QUALITY_RANK")</f>
        <v>5</v>
      </c>
      <c r="H106" s="4" cm="1">
        <f t="array" ref="H106">_xll.BDP($A106,"UD_GROWTH_PERCENTILE")</f>
        <v>70.31</v>
      </c>
      <c r="I106" s="6" cm="1">
        <f t="array" ref="I106">_xll.BDP($A106,"UD_GROWTH_RANK")</f>
        <v>90</v>
      </c>
      <c r="J106" s="4" cm="1">
        <f t="array" ref="J106">_xll.BDP($A106,"UD_VALUATION_PERCENTILE")</f>
        <v>20.309999999999999</v>
      </c>
      <c r="K106" s="4" cm="1">
        <f t="array" ref="K106">_xll.BDP($A106,"UD_VALUATION_RANK")</f>
        <v>0</v>
      </c>
      <c r="L106" s="4" cm="1">
        <f t="array" ref="L106">_xll.BDP($A106,"UD_MOMENTUM_PERCENTILE")</f>
        <v>83.15</v>
      </c>
      <c r="M106" s="4" cm="1">
        <f t="array" ref="M106">_xll.BDP($A106,"UD_MOMENTUM_RANK")</f>
        <v>100</v>
      </c>
      <c r="N106" s="4" cm="1">
        <f t="array" ref="N106">_xll.BDP($A106,"UD_RISK_PERCENTILE")</f>
        <v>7.66</v>
      </c>
    </row>
    <row r="107" spans="1:14" x14ac:dyDescent="0.25">
      <c r="A107" t="str">
        <v>EOAN GY Equity</v>
      </c>
      <c r="B107">
        <v>0.46424764938200003</v>
      </c>
      <c r="C107" s="3" t="str" cm="1">
        <f t="array" ref="C107">_xll.BDP(A107,"GICS_SECTOR_NAME")</f>
        <v>Utilities</v>
      </c>
      <c r="D107" s="3" t="str" cm="1">
        <f t="array" ref="D107">_xll.BDP(A107,"GICS_INDUSTRY_NAME")</f>
        <v>Multi-Utilities</v>
      </c>
      <c r="E107" s="4" cm="1">
        <f t="array" ref="E107">_xll.BDP($A107,"UD_OVERALL_FACTOR_PERCENTILE")</f>
        <v>57.16</v>
      </c>
      <c r="F107" s="5" cm="1">
        <f t="array" ref="F107">IFERROR(_xll.BDP($A107,"UD_OPERATING_QUALITY_FP"),50)</f>
        <v>61.48</v>
      </c>
      <c r="G107" s="4" cm="1">
        <f t="array" ref="G107">_xll.BDP($A107,"UD_OPERATING_QUALITY_RANK")</f>
        <v>74</v>
      </c>
      <c r="H107" s="4" cm="1">
        <f t="array" ref="H107">_xll.BDP($A107,"UD_GROWTH_PERCENTILE")</f>
        <v>36.31</v>
      </c>
      <c r="I107" s="6" cm="1">
        <f t="array" ref="I107">_xll.BDP($A107,"UD_GROWTH_RANK")</f>
        <v>20</v>
      </c>
      <c r="J107" s="4" cm="1">
        <f t="array" ref="J107">_xll.BDP($A107,"UD_VALUATION_PERCENTILE")</f>
        <v>52.69</v>
      </c>
      <c r="K107" s="4" cm="1">
        <f t="array" ref="K107">_xll.BDP($A107,"UD_VALUATION_RANK")</f>
        <v>53</v>
      </c>
      <c r="L107" s="4" cm="1">
        <f t="array" ref="L107">_xll.BDP($A107,"UD_MOMENTUM_PERCENTILE")</f>
        <v>57.46</v>
      </c>
      <c r="M107" s="4" cm="1">
        <f t="array" ref="M107">_xll.BDP($A107,"UD_MOMENTUM_RANK")</f>
        <v>84</v>
      </c>
      <c r="N107" s="4" cm="1">
        <f t="array" ref="N107">_xll.BDP($A107,"UD_RISK_PERCENTILE")</f>
        <v>80.010000000000005</v>
      </c>
    </row>
    <row r="108" spans="1:14" x14ac:dyDescent="0.25">
      <c r="A108" t="str">
        <v>EPIA SS Equity</v>
      </c>
      <c r="B108">
        <v>0.16326882821800001</v>
      </c>
      <c r="C108" s="3" t="str" cm="1">
        <f t="array" ref="C108">_xll.BDP(A108,"GICS_SECTOR_NAME")</f>
        <v>Industrials</v>
      </c>
      <c r="D108" s="3" t="str" cm="1">
        <f t="array" ref="D108">_xll.BDP(A108,"GICS_INDUSTRY_NAME")</f>
        <v>Machinery</v>
      </c>
      <c r="E108" s="4" t="str" cm="1">
        <f t="array" ref="E108">_xll.BDP($A108,"UD_OVERALL_FACTOR_PERCENTILE")</f>
        <v>#N/A Field Not Applicable</v>
      </c>
      <c r="F108" s="5" t="str" cm="1">
        <f t="array" ref="F108">IFERROR(_xll.BDP($A108,"UD_OPERATING_QUALITY_FP"),50)</f>
        <v>#N/A Field Not Applicable</v>
      </c>
      <c r="G108" s="4" t="str" cm="1">
        <f t="array" ref="G108">_xll.BDP($A108,"UD_OPERATING_QUALITY_RANK")</f>
        <v>#N/A Field Not Applicable</v>
      </c>
      <c r="H108" s="4" t="str" cm="1">
        <f t="array" ref="H108">_xll.BDP($A108,"UD_GROWTH_PERCENTILE")</f>
        <v>#N/A Field Not Applicable</v>
      </c>
      <c r="I108" s="6" t="str" cm="1">
        <f t="array" ref="I108">_xll.BDP($A108,"UD_GROWTH_RANK")</f>
        <v>#N/A Field Not Applicable</v>
      </c>
      <c r="J108" s="4" t="str" cm="1">
        <f t="array" ref="J108">_xll.BDP($A108,"UD_VALUATION_PERCENTILE")</f>
        <v>#N/A Field Not Applicable</v>
      </c>
      <c r="K108" s="4" t="str" cm="1">
        <f t="array" ref="K108">_xll.BDP($A108,"UD_VALUATION_RANK")</f>
        <v>#N/A Field Not Applicable</v>
      </c>
      <c r="L108" s="4" t="str" cm="1">
        <f t="array" ref="L108">_xll.BDP($A108,"UD_MOMENTUM_PERCENTILE")</f>
        <v>#N/A Field Not Applicable</v>
      </c>
      <c r="M108" s="4" t="str" cm="1">
        <f t="array" ref="M108">_xll.BDP($A108,"UD_MOMENTUM_RANK")</f>
        <v>#N/A Field Not Applicable</v>
      </c>
      <c r="N108" s="4" t="str" cm="1">
        <f t="array" ref="N108">_xll.BDP($A108,"UD_RISK_PERCENTILE")</f>
        <v>#N/A Field Not Applicable</v>
      </c>
    </row>
    <row r="109" spans="1:14" x14ac:dyDescent="0.25">
      <c r="A109" t="str">
        <v>EQT SS Equity</v>
      </c>
      <c r="B109">
        <v>2.2092533407000001E-2</v>
      </c>
      <c r="C109" s="3" t="str" cm="1">
        <f t="array" ref="C109">_xll.BDP(A109,"GICS_SECTOR_NAME")</f>
        <v>Financials</v>
      </c>
      <c r="D109" s="3" t="str" cm="1">
        <f t="array" ref="D109">_xll.BDP(A109,"GICS_INDUSTRY_NAME")</f>
        <v>Capital Markets</v>
      </c>
      <c r="E109" s="4" cm="1">
        <f t="array" ref="E109">_xll.BDP($A109,"UD_OVERALL_FACTOR_PERCENTILE")</f>
        <v>46.64</v>
      </c>
      <c r="F109" s="5" cm="1">
        <f t="array" ref="F109">IFERROR(_xll.BDP($A109,"UD_OPERATING_QUALITY_FP"),50)</f>
        <v>47.82</v>
      </c>
      <c r="G109" s="4" cm="1">
        <f t="array" ref="G109">_xll.BDP($A109,"UD_OPERATING_QUALITY_RANK")</f>
        <v>34</v>
      </c>
      <c r="H109" s="4" cm="1">
        <f t="array" ref="H109">_xll.BDP($A109,"UD_GROWTH_PERCENTILE")</f>
        <v>84.72</v>
      </c>
      <c r="I109" s="6" cm="1">
        <f t="array" ref="I109">_xll.BDP($A109,"UD_GROWTH_RANK")</f>
        <v>99</v>
      </c>
      <c r="J109" s="4" cm="1">
        <f t="array" ref="J109">_xll.BDP($A109,"UD_VALUATION_PERCENTILE")</f>
        <v>24.37</v>
      </c>
      <c r="K109" s="4" cm="1">
        <f t="array" ref="K109">_xll.BDP($A109,"UD_VALUATION_RANK")</f>
        <v>11</v>
      </c>
      <c r="L109" s="4" cm="1">
        <f t="array" ref="L109">_xll.BDP($A109,"UD_MOMENTUM_PERCENTILE")</f>
        <v>68.39</v>
      </c>
      <c r="M109" s="4" cm="1">
        <f t="array" ref="M109">_xll.BDP($A109,"UD_MOMENTUM_RANK")</f>
        <v>82</v>
      </c>
      <c r="N109" s="4" cm="1">
        <f t="array" ref="N109">_xll.BDP($A109,"UD_RISK_PERCENTILE")</f>
        <v>21.57</v>
      </c>
    </row>
    <row r="110" spans="1:14" x14ac:dyDescent="0.25">
      <c r="A110" t="str">
        <v>ERF FP Equity</v>
      </c>
      <c r="B110">
        <v>3.6200337776999998E-2</v>
      </c>
      <c r="C110" s="3" t="str" cm="1">
        <f t="array" ref="C110">_xll.BDP(A110,"GICS_SECTOR_NAME")</f>
        <v>Health Care</v>
      </c>
      <c r="D110" s="3" t="str" cm="1">
        <f t="array" ref="D110">_xll.BDP(A110,"GICS_INDUSTRY_NAME")</f>
        <v>Life Sciences Tools &amp; Services</v>
      </c>
      <c r="E110" s="4" cm="1">
        <f t="array" ref="E110">_xll.BDP($A110,"UD_OVERALL_FACTOR_PERCENTILE")</f>
        <v>51.65</v>
      </c>
      <c r="F110" s="5" cm="1">
        <f t="array" ref="F110">IFERROR(_xll.BDP($A110,"UD_OPERATING_QUALITY_FP"),50)</f>
        <v>54.92</v>
      </c>
      <c r="G110" s="4" cm="1">
        <f t="array" ref="G110">_xll.BDP($A110,"UD_OPERATING_QUALITY_RANK")</f>
        <v>53</v>
      </c>
      <c r="H110" s="4" cm="1">
        <f t="array" ref="H110">_xll.BDP($A110,"UD_GROWTH_PERCENTILE")</f>
        <v>53.03</v>
      </c>
      <c r="I110" s="6" cm="1">
        <f t="array" ref="I110">_xll.BDP($A110,"UD_GROWTH_RANK")</f>
        <v>57</v>
      </c>
      <c r="J110" s="4" cm="1">
        <f t="array" ref="J110">_xll.BDP($A110,"UD_VALUATION_PERCENTILE")</f>
        <v>45.39</v>
      </c>
      <c r="K110" s="4" cm="1">
        <f t="array" ref="K110">_xll.BDP($A110,"UD_VALUATION_RANK")</f>
        <v>41</v>
      </c>
      <c r="L110" s="4" cm="1">
        <f t="array" ref="L110">_xll.BDP($A110,"UD_MOMENTUM_PERCENTILE")</f>
        <v>54.84</v>
      </c>
      <c r="M110" s="4" cm="1">
        <f t="array" ref="M110">_xll.BDP($A110,"UD_MOMENTUM_RANK")</f>
        <v>65</v>
      </c>
      <c r="N110" s="4" cm="1">
        <f t="array" ref="N110">_xll.BDP($A110,"UD_RISK_PERCENTILE")</f>
        <v>65.72</v>
      </c>
    </row>
    <row r="111" spans="1:14" x14ac:dyDescent="0.25">
      <c r="A111" t="str">
        <v>ERICB SS Equity</v>
      </c>
      <c r="B111">
        <v>0.24938779027399999</v>
      </c>
      <c r="C111" s="3" t="str" cm="1">
        <f t="array" ref="C111">_xll.BDP(A111,"GICS_SECTOR_NAME")</f>
        <v>Information Technology</v>
      </c>
      <c r="D111" s="3" t="str" cm="1">
        <f t="array" ref="D111">_xll.BDP(A111,"GICS_INDUSTRY_NAME")</f>
        <v>Communications Equipment</v>
      </c>
      <c r="E111" s="4" cm="1">
        <f t="array" ref="E111">_xll.BDP($A111,"UD_OVERALL_FACTOR_PERCENTILE")</f>
        <v>58.73</v>
      </c>
      <c r="F111" s="5" cm="1">
        <f t="array" ref="F111">IFERROR(_xll.BDP($A111,"UD_OPERATING_QUALITY_FP"),50)</f>
        <v>41.62</v>
      </c>
      <c r="G111" s="4" cm="1">
        <f t="array" ref="G111">_xll.BDP($A111,"UD_OPERATING_QUALITY_RANK")</f>
        <v>30</v>
      </c>
      <c r="H111" s="4" cm="1">
        <f t="array" ref="H111">_xll.BDP($A111,"UD_GROWTH_PERCENTILE")</f>
        <v>34.840000000000003</v>
      </c>
      <c r="I111" s="6" cm="1">
        <f t="array" ref="I111">_xll.BDP($A111,"UD_GROWTH_RANK")</f>
        <v>16</v>
      </c>
      <c r="J111" s="4" cm="1">
        <f t="array" ref="J111">_xll.BDP($A111,"UD_VALUATION_PERCENTILE")</f>
        <v>87.49</v>
      </c>
      <c r="K111" s="4" cm="1">
        <f t="array" ref="K111">_xll.BDP($A111,"UD_VALUATION_RANK")</f>
        <v>100</v>
      </c>
      <c r="L111" s="4" cm="1">
        <f t="array" ref="L111">_xll.BDP($A111,"UD_MOMENTUM_PERCENTILE")</f>
        <v>46.22</v>
      </c>
      <c r="M111" s="4" cm="1">
        <f t="array" ref="M111">_xll.BDP($A111,"UD_MOMENTUM_RANK")</f>
        <v>46</v>
      </c>
      <c r="N111" s="4" cm="1">
        <f t="array" ref="N111">_xll.BDP($A111,"UD_RISK_PERCENTILE")</f>
        <v>68.23</v>
      </c>
    </row>
    <row r="112" spans="1:14" x14ac:dyDescent="0.25">
      <c r="A112" t="str">
        <v>ESSITYB SS Equity</v>
      </c>
      <c r="B112">
        <v>0.31311924373400002</v>
      </c>
      <c r="C112" s="3" t="str" cm="1">
        <f t="array" ref="C112">_xll.BDP(A112,"GICS_SECTOR_NAME")</f>
        <v>Consumer Staples</v>
      </c>
      <c r="D112" s="3" t="str" cm="1">
        <f t="array" ref="D112">_xll.BDP(A112,"GICS_INDUSTRY_NAME")</f>
        <v>Household Products</v>
      </c>
      <c r="E112" s="4" cm="1">
        <f t="array" ref="E112">_xll.BDP($A112,"UD_OVERALL_FACTOR_PERCENTILE")</f>
        <v>42.12</v>
      </c>
      <c r="F112" s="5" cm="1">
        <f t="array" ref="F112">IFERROR(_xll.BDP($A112,"UD_OPERATING_QUALITY_FP"),50)</f>
        <v>40.090000000000003</v>
      </c>
      <c r="G112" s="4" cm="1">
        <f t="array" ref="G112">_xll.BDP($A112,"UD_OPERATING_QUALITY_RANK")</f>
        <v>11</v>
      </c>
      <c r="H112" s="4" cm="1">
        <f t="array" ref="H112">_xll.BDP($A112,"UD_GROWTH_PERCENTILE")</f>
        <v>33.82</v>
      </c>
      <c r="I112" s="6" cm="1">
        <f t="array" ref="I112">_xll.BDP($A112,"UD_GROWTH_RANK")</f>
        <v>15</v>
      </c>
      <c r="J112" s="4" cm="1">
        <f t="array" ref="J112">_xll.BDP($A112,"UD_VALUATION_PERCENTILE")</f>
        <v>57.24</v>
      </c>
      <c r="K112" s="4" cm="1">
        <f t="array" ref="K112">_xll.BDP($A112,"UD_VALUATION_RANK")</f>
        <v>68</v>
      </c>
      <c r="L112" s="4" cm="1">
        <f t="array" ref="L112">_xll.BDP($A112,"UD_MOMENTUM_PERCENTILE")</f>
        <v>28.57</v>
      </c>
      <c r="M112" s="4" cm="1">
        <f t="array" ref="M112">_xll.BDP($A112,"UD_MOMENTUM_RANK")</f>
        <v>6</v>
      </c>
      <c r="N112" s="4" cm="1">
        <f t="array" ref="N112">_xll.BDP($A112,"UD_RISK_PERCENTILE")</f>
        <v>90.75</v>
      </c>
    </row>
    <row r="113" spans="1:14" x14ac:dyDescent="0.25">
      <c r="A113" t="str">
        <v>EVK GY Equity</v>
      </c>
      <c r="B113">
        <v>1.0662344355999999E-2</v>
      </c>
      <c r="C113" s="3" t="str" cm="1">
        <f t="array" ref="C113">_xll.BDP(A113,"GICS_SECTOR_NAME")</f>
        <v>Materials</v>
      </c>
      <c r="D113" s="3" t="str" cm="1">
        <f t="array" ref="D113">_xll.BDP(A113,"GICS_INDUSTRY_NAME")</f>
        <v>Chemicals</v>
      </c>
      <c r="E113" s="4" cm="1">
        <f t="array" ref="E113">_xll.BDP($A113,"UD_OVERALL_FACTOR_PERCENTILE")</f>
        <v>48.5</v>
      </c>
      <c r="F113" s="5" cm="1">
        <f t="array" ref="F113">IFERROR(_xll.BDP($A113,"UD_OPERATING_QUALITY_FP"),50)</f>
        <v>42.65</v>
      </c>
      <c r="G113" s="4" cm="1">
        <f t="array" ref="G113">_xll.BDP($A113,"UD_OPERATING_QUALITY_RANK")</f>
        <v>34</v>
      </c>
      <c r="H113" s="4" cm="1">
        <f t="array" ref="H113">_xll.BDP($A113,"UD_GROWTH_PERCENTILE")</f>
        <v>34.69</v>
      </c>
      <c r="I113" s="6" cm="1">
        <f t="array" ref="I113">_xll.BDP($A113,"UD_GROWTH_RANK")</f>
        <v>16</v>
      </c>
      <c r="J113" s="4" cm="1">
        <f t="array" ref="J113">_xll.BDP($A113,"UD_VALUATION_PERCENTILE")</f>
        <v>58.59</v>
      </c>
      <c r="K113" s="4" cm="1">
        <f t="array" ref="K113">_xll.BDP($A113,"UD_VALUATION_RANK")</f>
        <v>65</v>
      </c>
      <c r="L113" s="4" cm="1">
        <f t="array" ref="L113">_xll.BDP($A113,"UD_MOMENTUM_PERCENTILE")</f>
        <v>43.95</v>
      </c>
      <c r="M113" s="4" cm="1">
        <f t="array" ref="M113">_xll.BDP($A113,"UD_MOMENTUM_RANK")</f>
        <v>35</v>
      </c>
      <c r="N113" s="4" cm="1">
        <f t="array" ref="N113">_xll.BDP($A113,"UD_RISK_PERCENTILE")</f>
        <v>65.3</v>
      </c>
    </row>
    <row r="114" spans="1:14" x14ac:dyDescent="0.25">
      <c r="A114" t="str">
        <v>EXO NA Equity</v>
      </c>
      <c r="B114">
        <v>0.123624320149</v>
      </c>
      <c r="C114" s="3" t="str" cm="1">
        <f t="array" ref="C114">_xll.BDP(A114,"GICS_SECTOR_NAME")</f>
        <v>Financials</v>
      </c>
      <c r="D114" s="3" t="str" cm="1">
        <f t="array" ref="D114">_xll.BDP(A114,"GICS_INDUSTRY_NAME")</f>
        <v>Financial Services</v>
      </c>
      <c r="E114" s="4" t="str" cm="1">
        <f t="array" ref="E114">_xll.BDP($A114,"UD_OVERALL_FACTOR_PERCENTILE")</f>
        <v>#N/A Field Not Applicable</v>
      </c>
      <c r="F114" s="5" t="str" cm="1">
        <f t="array" ref="F114">IFERROR(_xll.BDP($A114,"UD_OPERATING_QUALITY_FP"),50)</f>
        <v>#N/A Field Not Applicable</v>
      </c>
      <c r="G114" s="4" t="str" cm="1">
        <f t="array" ref="G114">_xll.BDP($A114,"UD_OPERATING_QUALITY_RANK")</f>
        <v>#N/A Field Not Applicable</v>
      </c>
      <c r="H114" s="4" t="str" cm="1">
        <f t="array" ref="H114">_xll.BDP($A114,"UD_GROWTH_PERCENTILE")</f>
        <v>#N/A Field Not Applicable</v>
      </c>
      <c r="I114" s="6" t="str" cm="1">
        <f t="array" ref="I114">_xll.BDP($A114,"UD_GROWTH_RANK")</f>
        <v>#N/A Field Not Applicable</v>
      </c>
      <c r="J114" s="4" t="str" cm="1">
        <f t="array" ref="J114">_xll.BDP($A114,"UD_VALUATION_PERCENTILE")</f>
        <v>#N/A Field Not Applicable</v>
      </c>
      <c r="K114" s="4" t="str" cm="1">
        <f t="array" ref="K114">_xll.BDP($A114,"UD_VALUATION_RANK")</f>
        <v>#N/A Field Not Applicable</v>
      </c>
      <c r="L114" s="4" t="str" cm="1">
        <f t="array" ref="L114">_xll.BDP($A114,"UD_MOMENTUM_PERCENTILE")</f>
        <v>#N/A Field Not Applicable</v>
      </c>
      <c r="M114" s="4" t="str" cm="1">
        <f t="array" ref="M114">_xll.BDP($A114,"UD_MOMENTUM_RANK")</f>
        <v>#N/A Field Not Applicable</v>
      </c>
      <c r="N114" s="4" t="str" cm="1">
        <f t="array" ref="N114">_xll.BDP($A114,"UD_RISK_PERCENTILE")</f>
        <v>#N/A Field Not Applicable</v>
      </c>
    </row>
    <row r="115" spans="1:14" x14ac:dyDescent="0.25">
      <c r="A115" t="str">
        <v>EXPN LN Equity</v>
      </c>
      <c r="B115">
        <v>0.54619511953900002</v>
      </c>
      <c r="C115" s="3" t="str" cm="1">
        <f t="array" ref="C115">_xll.BDP(A115,"GICS_SECTOR_NAME")</f>
        <v>Industrials</v>
      </c>
      <c r="D115" s="3" t="str" cm="1">
        <f t="array" ref="D115">_xll.BDP(A115,"GICS_INDUSTRY_NAME")</f>
        <v>Professional Services</v>
      </c>
      <c r="E115" s="4" cm="1">
        <f t="array" ref="E115">_xll.BDP($A115,"UD_OVERALL_FACTOR_PERCENTILE")</f>
        <v>51.96</v>
      </c>
      <c r="F115" s="5" cm="1">
        <f t="array" ref="F115">IFERROR(_xll.BDP($A115,"UD_OPERATING_QUALITY_FP"),50)</f>
        <v>84.25</v>
      </c>
      <c r="G115" s="4" cm="1">
        <f t="array" ref="G115">_xll.BDP($A115,"UD_OPERATING_QUALITY_RANK")</f>
        <v>96</v>
      </c>
      <c r="H115" s="4" cm="1">
        <f t="array" ref="H115">_xll.BDP($A115,"UD_GROWTH_PERCENTILE")</f>
        <v>73.28</v>
      </c>
      <c r="I115" s="6" cm="1">
        <f t="array" ref="I115">_xll.BDP($A115,"UD_GROWTH_RANK")</f>
        <v>93</v>
      </c>
      <c r="J115" s="4" cm="1">
        <f t="array" ref="J115">_xll.BDP($A115,"UD_VALUATION_PERCENTILE")</f>
        <v>21.47</v>
      </c>
      <c r="K115" s="4" cm="1">
        <f t="array" ref="K115">_xll.BDP($A115,"UD_VALUATION_RANK")</f>
        <v>14</v>
      </c>
      <c r="L115" s="4" cm="1">
        <f t="array" ref="L115">_xll.BDP($A115,"UD_MOMENTUM_PERCENTILE")</f>
        <v>51.07</v>
      </c>
      <c r="M115" s="4" cm="1">
        <f t="array" ref="M115">_xll.BDP($A115,"UD_MOMENTUM_RANK")</f>
        <v>52</v>
      </c>
      <c r="N115" s="4" cm="1">
        <f t="array" ref="N115">_xll.BDP($A115,"UD_RISK_PERCENTILE")</f>
        <v>70.92</v>
      </c>
    </row>
    <row r="116" spans="1:14" x14ac:dyDescent="0.25">
      <c r="A116" t="str">
        <v>FER SM Equity</v>
      </c>
      <c r="B116">
        <v>0.337770991199</v>
      </c>
      <c r="C116" s="3" t="str" cm="1">
        <f t="array" ref="C116">_xll.BDP(A116,"GICS_SECTOR_NAME")</f>
        <v>Industrials</v>
      </c>
      <c r="D116" s="3" t="str" cm="1">
        <f t="array" ref="D116">_xll.BDP(A116,"GICS_INDUSTRY_NAME")</f>
        <v>Construction &amp; Engineering</v>
      </c>
      <c r="E116" s="4" cm="1">
        <f t="array" ref="E116">_xll.BDP($A116,"UD_OVERALL_FACTOR_PERCENTILE")</f>
        <v>35.32</v>
      </c>
      <c r="F116" s="5" cm="1">
        <f t="array" ref="F116">IFERROR(_xll.BDP($A116,"UD_OPERATING_QUALITY_FP"),50)</f>
        <v>32.32</v>
      </c>
      <c r="G116" s="4" cm="1">
        <f t="array" ref="G116">_xll.BDP($A116,"UD_OPERATING_QUALITY_RANK")</f>
        <v>8</v>
      </c>
      <c r="H116" s="4" cm="1">
        <f t="array" ref="H116">_xll.BDP($A116,"UD_GROWTH_PERCENTILE")</f>
        <v>52.53</v>
      </c>
      <c r="I116" s="6" cm="1">
        <f t="array" ref="I116">_xll.BDP($A116,"UD_GROWTH_RANK")</f>
        <v>55</v>
      </c>
      <c r="J116" s="4" cm="1">
        <f t="array" ref="J116">_xll.BDP($A116,"UD_VALUATION_PERCENTILE")</f>
        <v>19.11</v>
      </c>
      <c r="K116" s="4" cm="1">
        <f t="array" ref="K116">_xll.BDP($A116,"UD_VALUATION_RANK")</f>
        <v>10</v>
      </c>
      <c r="L116" s="4" cm="1">
        <f t="array" ref="L116">_xll.BDP($A116,"UD_MOMENTUM_PERCENTILE")</f>
        <v>55.01</v>
      </c>
      <c r="M116" s="4" cm="1">
        <f t="array" ref="M116">_xll.BDP($A116,"UD_MOMENTUM_RANK")</f>
        <v>59</v>
      </c>
      <c r="N116" s="4" cm="1">
        <f t="array" ref="N116">_xll.BDP($A116,"UD_RISK_PERCENTILE")</f>
        <v>81.33</v>
      </c>
    </row>
    <row r="117" spans="1:14" x14ac:dyDescent="0.25">
      <c r="A117" t="str">
        <v>FGR FP Equity</v>
      </c>
      <c r="B117">
        <v>0.26241734077599999</v>
      </c>
      <c r="C117" s="3" t="str" cm="1">
        <f t="array" ref="C117">_xll.BDP(A117,"GICS_SECTOR_NAME")</f>
        <v>Industrials</v>
      </c>
      <c r="D117" s="3" t="str" cm="1">
        <f t="array" ref="D117">_xll.BDP(A117,"GICS_INDUSTRY_NAME")</f>
        <v>Construction &amp; Engineering</v>
      </c>
      <c r="E117" s="4" cm="1">
        <f t="array" ref="E117">_xll.BDP($A117,"UD_OVERALL_FACTOR_PERCENTILE")</f>
        <v>54.39</v>
      </c>
      <c r="F117" s="5" cm="1">
        <f t="array" ref="F117">IFERROR(_xll.BDP($A117,"UD_OPERATING_QUALITY_FP"),50)</f>
        <v>41.77</v>
      </c>
      <c r="G117" s="4" cm="1">
        <f t="array" ref="G117">_xll.BDP($A117,"UD_OPERATING_QUALITY_RANK")</f>
        <v>23</v>
      </c>
      <c r="H117" s="4" cm="1">
        <f t="array" ref="H117">_xll.BDP($A117,"UD_GROWTH_PERCENTILE")</f>
        <v>41.25</v>
      </c>
      <c r="I117" s="6" cm="1">
        <f t="array" ref="I117">_xll.BDP($A117,"UD_GROWTH_RANK")</f>
        <v>30</v>
      </c>
      <c r="J117" s="4" cm="1">
        <f t="array" ref="J117">_xll.BDP($A117,"UD_VALUATION_PERCENTILE")</f>
        <v>66.599999999999994</v>
      </c>
      <c r="K117" s="4" cm="1">
        <f t="array" ref="K117">_xll.BDP($A117,"UD_VALUATION_RANK")</f>
        <v>85</v>
      </c>
      <c r="L117" s="4" cm="1">
        <f t="array" ref="L117">_xll.BDP($A117,"UD_MOMENTUM_PERCENTILE")</f>
        <v>54.42</v>
      </c>
      <c r="M117" s="4" cm="1">
        <f t="array" ref="M117">_xll.BDP($A117,"UD_MOMENTUM_RANK")</f>
        <v>58</v>
      </c>
      <c r="N117" s="4" cm="1">
        <f t="array" ref="N117">_xll.BDP($A117,"UD_RISK_PERCENTILE")</f>
        <v>54.78</v>
      </c>
    </row>
    <row r="118" spans="1:14" x14ac:dyDescent="0.25">
      <c r="A118" t="str">
        <v>FME GY Equity</v>
      </c>
      <c r="B118">
        <v>0.10977092655700001</v>
      </c>
      <c r="C118" s="3" t="str" cm="1">
        <f t="array" ref="C118">_xll.BDP(A118,"GICS_SECTOR_NAME")</f>
        <v>Health Care</v>
      </c>
      <c r="D118" s="3" t="str" cm="1">
        <f t="array" ref="D118">_xll.BDP(A118,"GICS_INDUSTRY_NAME")</f>
        <v>Health Care Providers &amp; Servic</v>
      </c>
      <c r="E118" s="4" cm="1">
        <f t="array" ref="E118">_xll.BDP($A118,"UD_OVERALL_FACTOR_PERCENTILE")</f>
        <v>54.11</v>
      </c>
      <c r="F118" s="5" cm="1">
        <f t="array" ref="F118">IFERROR(_xll.BDP($A118,"UD_OPERATING_QUALITY_FP"),50)</f>
        <v>37.5</v>
      </c>
      <c r="G118" s="4" cm="1">
        <f t="array" ref="G118">_xll.BDP($A118,"UD_OPERATING_QUALITY_RANK")</f>
        <v>19</v>
      </c>
      <c r="H118" s="4" cm="1">
        <f t="array" ref="H118">_xll.BDP($A118,"UD_GROWTH_PERCENTILE")</f>
        <v>36.159999999999997</v>
      </c>
      <c r="I118" s="6" cm="1">
        <f t="array" ref="I118">_xll.BDP($A118,"UD_GROWTH_RANK")</f>
        <v>19</v>
      </c>
      <c r="J118" s="4" cm="1">
        <f t="array" ref="J118">_xll.BDP($A118,"UD_VALUATION_PERCENTILE")</f>
        <v>67.48</v>
      </c>
      <c r="K118" s="4" cm="1">
        <f t="array" ref="K118">_xll.BDP($A118,"UD_VALUATION_RANK")</f>
        <v>81</v>
      </c>
      <c r="L118" s="4" cm="1">
        <f t="array" ref="L118">_xll.BDP($A118,"UD_MOMENTUM_PERCENTILE")</f>
        <v>56.96</v>
      </c>
      <c r="M118" s="4" cm="1">
        <f t="array" ref="M118">_xll.BDP($A118,"UD_MOMENTUM_RANK")</f>
        <v>74</v>
      </c>
      <c r="N118" s="4" cm="1">
        <f t="array" ref="N118">_xll.BDP($A118,"UD_RISK_PERCENTILE")</f>
        <v>58.7</v>
      </c>
    </row>
    <row r="119" spans="1:14" x14ac:dyDescent="0.25">
      <c r="A119" t="str">
        <v>FRE GY Equity</v>
      </c>
      <c r="B119">
        <v>0.25176991803499998</v>
      </c>
      <c r="C119" s="3" t="str" cm="1">
        <f t="array" ref="C119">_xll.BDP(A119,"GICS_SECTOR_NAME")</f>
        <v>Health Care</v>
      </c>
      <c r="D119" s="3" t="str" cm="1">
        <f t="array" ref="D119">_xll.BDP(A119,"GICS_INDUSTRY_NAME")</f>
        <v>Health Care Providers &amp; Servic</v>
      </c>
      <c r="E119" s="4" cm="1">
        <f t="array" ref="E119">_xll.BDP($A119,"UD_OVERALL_FACTOR_PERCENTILE")</f>
        <v>52.82</v>
      </c>
      <c r="F119" s="5" cm="1">
        <f t="array" ref="F119">IFERROR(_xll.BDP($A119,"UD_OPERATING_QUALITY_FP"),50)</f>
        <v>46.63</v>
      </c>
      <c r="G119" s="4" cm="1">
        <f t="array" ref="G119">_xll.BDP($A119,"UD_OPERATING_QUALITY_RANK")</f>
        <v>31</v>
      </c>
      <c r="H119" s="4" cm="1">
        <f t="array" ref="H119">_xll.BDP($A119,"UD_GROWTH_PERCENTILE")</f>
        <v>29.69</v>
      </c>
      <c r="I119" s="6" cm="1">
        <f t="array" ref="I119">_xll.BDP($A119,"UD_GROWTH_RANK")</f>
        <v>8</v>
      </c>
      <c r="J119" s="4" cm="1">
        <f t="array" ref="J119">_xll.BDP($A119,"UD_VALUATION_PERCENTILE")</f>
        <v>54.44</v>
      </c>
      <c r="K119" s="4" cm="1">
        <f t="array" ref="K119">_xll.BDP($A119,"UD_VALUATION_RANK")</f>
        <v>60</v>
      </c>
      <c r="L119" s="4" cm="1">
        <f t="array" ref="L119">_xll.BDP($A119,"UD_MOMENTUM_PERCENTILE")</f>
        <v>57.34</v>
      </c>
      <c r="M119" s="4" cm="1">
        <f t="array" ref="M119">_xll.BDP($A119,"UD_MOMENTUM_RANK")</f>
        <v>78</v>
      </c>
      <c r="N119" s="4" cm="1">
        <f t="array" ref="N119">_xll.BDP($A119,"UD_RISK_PERCENTILE")</f>
        <v>66.48</v>
      </c>
    </row>
    <row r="120" spans="1:14" x14ac:dyDescent="0.25">
      <c r="A120" t="str">
        <v>G IM Equity</v>
      </c>
      <c r="B120">
        <v>0.49615775521799999</v>
      </c>
      <c r="C120" s="3" t="str" cm="1">
        <f t="array" ref="C120">_xll.BDP(A120,"GICS_SECTOR_NAME")</f>
        <v>Financials</v>
      </c>
      <c r="D120" s="3" t="str" cm="1">
        <f t="array" ref="D120">_xll.BDP(A120,"GICS_INDUSTRY_NAME")</f>
        <v>Insurance</v>
      </c>
      <c r="E120" s="4" cm="1">
        <f t="array" ref="E120">_xll.BDP($A120,"UD_OVERALL_FACTOR_PERCENTILE")</f>
        <v>52.47</v>
      </c>
      <c r="F120" s="5" cm="1">
        <f t="array" ref="F120">IFERROR(_xll.BDP($A120,"UD_OPERATING_QUALITY_FP"),50)</f>
        <v>56.65</v>
      </c>
      <c r="G120" s="4" cm="1">
        <f t="array" ref="G120">_xll.BDP($A120,"UD_OPERATING_QUALITY_RANK")</f>
        <v>52</v>
      </c>
      <c r="H120" s="4" cm="1">
        <f t="array" ref="H120">_xll.BDP($A120,"UD_GROWTH_PERCENTILE")</f>
        <v>53.98</v>
      </c>
      <c r="I120" s="6" cm="1">
        <f t="array" ref="I120">_xll.BDP($A120,"UD_GROWTH_RANK")</f>
        <v>59</v>
      </c>
      <c r="J120" s="4" cm="1">
        <f t="array" ref="J120">_xll.BDP($A120,"UD_VALUATION_PERCENTILE")</f>
        <v>49.97</v>
      </c>
      <c r="K120" s="4" cm="1">
        <f t="array" ref="K120">_xll.BDP($A120,"UD_VALUATION_RANK")</f>
        <v>54</v>
      </c>
      <c r="L120" s="4" cm="1">
        <f t="array" ref="L120">_xll.BDP($A120,"UD_MOMENTUM_PERCENTILE")</f>
        <v>50.85</v>
      </c>
      <c r="M120" s="4" cm="1">
        <f t="array" ref="M120">_xll.BDP($A120,"UD_MOMENTUM_RANK")</f>
        <v>41</v>
      </c>
      <c r="N120" s="4" cm="1">
        <f t="array" ref="N120">_xll.BDP($A120,"UD_RISK_PERCENTILE")</f>
        <v>80.53</v>
      </c>
    </row>
    <row r="121" spans="1:14" x14ac:dyDescent="0.25">
      <c r="A121" t="str">
        <v>G1A GY Equity</v>
      </c>
      <c r="B121">
        <v>0.24607696391600001</v>
      </c>
      <c r="C121" s="3" t="str" cm="1">
        <f t="array" ref="C121">_xll.BDP(A121,"GICS_SECTOR_NAME")</f>
        <v>Industrials</v>
      </c>
      <c r="D121" s="3" t="str" cm="1">
        <f t="array" ref="D121">_xll.BDP(A121,"GICS_INDUSTRY_NAME")</f>
        <v>Machinery</v>
      </c>
      <c r="E121" s="4" cm="1">
        <f t="array" ref="E121">_xll.BDP($A121,"UD_OVERALL_FACTOR_PERCENTILE")</f>
        <v>53.15</v>
      </c>
      <c r="F121" s="5" cm="1">
        <f t="array" ref="F121">IFERROR(_xll.BDP($A121,"UD_OPERATING_QUALITY_FP"),50)</f>
        <v>66.709999999999994</v>
      </c>
      <c r="G121" s="4" cm="1">
        <f t="array" ref="G121">_xll.BDP($A121,"UD_OPERATING_QUALITY_RANK")</f>
        <v>67</v>
      </c>
      <c r="H121" s="4" cm="1">
        <f t="array" ref="H121">_xll.BDP($A121,"UD_GROWTH_PERCENTILE")</f>
        <v>50.01</v>
      </c>
      <c r="I121" s="6" cm="1">
        <f t="array" ref="I121">_xll.BDP($A121,"UD_GROWTH_RANK")</f>
        <v>49</v>
      </c>
      <c r="J121" s="4" cm="1">
        <f t="array" ref="J121">_xll.BDP($A121,"UD_VALUATION_PERCENTILE")</f>
        <v>23.86</v>
      </c>
      <c r="K121" s="4" cm="1">
        <f t="array" ref="K121">_xll.BDP($A121,"UD_VALUATION_RANK")</f>
        <v>18</v>
      </c>
      <c r="L121" s="4" cm="1">
        <f t="array" ref="L121">_xll.BDP($A121,"UD_MOMENTUM_PERCENTILE")</f>
        <v>69.77</v>
      </c>
      <c r="M121" s="4" cm="1">
        <f t="array" ref="M121">_xll.BDP($A121,"UD_MOMENTUM_RANK")</f>
        <v>84</v>
      </c>
      <c r="N121" s="4" cm="1">
        <f t="array" ref="N121">_xll.BDP($A121,"UD_RISK_PERCENTILE")</f>
        <v>75.989999999999995</v>
      </c>
    </row>
    <row r="122" spans="1:14" x14ac:dyDescent="0.25">
      <c r="A122" t="str">
        <v>G24 GY Equity</v>
      </c>
      <c r="B122">
        <v>2.4199431890000001E-2</v>
      </c>
      <c r="C122" s="3" t="str" cm="1">
        <f t="array" ref="C122">_xll.BDP(A122,"GICS_SECTOR_NAME")</f>
        <v>Communication Services</v>
      </c>
      <c r="D122" s="3" t="str" cm="1">
        <f t="array" ref="D122">_xll.BDP(A122,"GICS_INDUSTRY_NAME")</f>
        <v>Interactive Media &amp; Services</v>
      </c>
      <c r="E122" s="4" cm="1">
        <f t="array" ref="E122">_xll.BDP($A122,"UD_OVERALL_FACTOR_PERCENTILE")</f>
        <v>59.98</v>
      </c>
      <c r="F122" s="5" cm="1">
        <f t="array" ref="F122">IFERROR(_xll.BDP($A122,"UD_OPERATING_QUALITY_FP"),50)</f>
        <v>85.85</v>
      </c>
      <c r="G122" s="4" cm="1">
        <f t="array" ref="G122">_xll.BDP($A122,"UD_OPERATING_QUALITY_RANK")</f>
        <v>100</v>
      </c>
      <c r="H122" s="4" cm="1">
        <f t="array" ref="H122">_xll.BDP($A122,"UD_GROWTH_PERCENTILE")</f>
        <v>82.59</v>
      </c>
      <c r="I122" s="6" cm="1">
        <f t="array" ref="I122">_xll.BDP($A122,"UD_GROWTH_RANK")</f>
        <v>98</v>
      </c>
      <c r="J122" s="4" cm="1">
        <f t="array" ref="J122">_xll.BDP($A122,"UD_VALUATION_PERCENTILE")</f>
        <v>15.32</v>
      </c>
      <c r="K122" s="4" cm="1">
        <f t="array" ref="K122">_xll.BDP($A122,"UD_VALUATION_RANK")</f>
        <v>0</v>
      </c>
      <c r="L122" s="4" cm="1">
        <f t="array" ref="L122">_xll.BDP($A122,"UD_MOMENTUM_PERCENTILE")</f>
        <v>80.11</v>
      </c>
      <c r="M122" s="4" cm="1">
        <f t="array" ref="M122">_xll.BDP($A122,"UD_MOMENTUM_RANK")</f>
        <v>98</v>
      </c>
      <c r="N122" s="4" cm="1">
        <f t="array" ref="N122">_xll.BDP($A122,"UD_RISK_PERCENTILE")</f>
        <v>77.900000000000006</v>
      </c>
    </row>
    <row r="123" spans="1:14" x14ac:dyDescent="0.25">
      <c r="A123" t="str">
        <v>GEBN SW Equity</v>
      </c>
      <c r="B123">
        <v>0.108268539988</v>
      </c>
      <c r="C123" s="3" t="str" cm="1">
        <f t="array" ref="C123">_xll.BDP(A123,"GICS_SECTOR_NAME")</f>
        <v>Industrials</v>
      </c>
      <c r="D123" s="3" t="str" cm="1">
        <f t="array" ref="D123">_xll.BDP(A123,"GICS_INDUSTRY_NAME")</f>
        <v>Building Products</v>
      </c>
      <c r="E123" s="4" cm="1">
        <f t="array" ref="E123">_xll.BDP($A123,"UD_OVERALL_FACTOR_PERCENTILE")</f>
        <v>49.65</v>
      </c>
      <c r="F123" s="5" cm="1">
        <f t="array" ref="F123">IFERROR(_xll.BDP($A123,"UD_OPERATING_QUALITY_FP"),50)</f>
        <v>83.04</v>
      </c>
      <c r="G123" s="4" cm="1">
        <f t="array" ref="G123">_xll.BDP($A123,"UD_OPERATING_QUALITY_RANK")</f>
        <v>93</v>
      </c>
      <c r="H123" s="4" cm="1">
        <f t="array" ref="H123">_xll.BDP($A123,"UD_GROWTH_PERCENTILE")</f>
        <v>52.78</v>
      </c>
      <c r="I123" s="6" cm="1">
        <f t="array" ref="I123">_xll.BDP($A123,"UD_GROWTH_RANK")</f>
        <v>56</v>
      </c>
      <c r="J123" s="4" cm="1">
        <f t="array" ref="J123">_xll.BDP($A123,"UD_VALUATION_PERCENTILE")</f>
        <v>13.08</v>
      </c>
      <c r="K123" s="4" cm="1">
        <f t="array" ref="K123">_xll.BDP($A123,"UD_VALUATION_RANK")</f>
        <v>4</v>
      </c>
      <c r="L123" s="4" cm="1">
        <f t="array" ref="L123">_xll.BDP($A123,"UD_MOMENTUM_PERCENTILE")</f>
        <v>53.95</v>
      </c>
      <c r="M123" s="4" cm="1">
        <f t="array" ref="M123">_xll.BDP($A123,"UD_MOMENTUM_RANK")</f>
        <v>56</v>
      </c>
      <c r="N123" s="4" cm="1">
        <f t="array" ref="N123">_xll.BDP($A123,"UD_RISK_PERCENTILE")</f>
        <v>65.540000000000006</v>
      </c>
    </row>
    <row r="124" spans="1:14" x14ac:dyDescent="0.25">
      <c r="A124" t="str">
        <v>GET FP Equity</v>
      </c>
      <c r="B124">
        <v>9.4276137651E-2</v>
      </c>
      <c r="C124" s="3" t="str" cm="1">
        <f t="array" ref="C124">_xll.BDP(A124,"GICS_SECTOR_NAME")</f>
        <v>Industrials</v>
      </c>
      <c r="D124" s="3" t="str" cm="1">
        <f t="array" ref="D124">_xll.BDP(A124,"GICS_INDUSTRY_NAME")</f>
        <v>Transportation Infrastructure</v>
      </c>
      <c r="E124" s="4" cm="1">
        <f t="array" ref="E124">_xll.BDP($A124,"UD_OVERALL_FACTOR_PERCENTILE")</f>
        <v>42.9</v>
      </c>
      <c r="F124" s="5" cm="1">
        <f t="array" ref="F124">IFERROR(_xll.BDP($A124,"UD_OPERATING_QUALITY_FP"),50)</f>
        <v>26.5</v>
      </c>
      <c r="G124" s="4" cm="1">
        <f t="array" ref="G124">_xll.BDP($A124,"UD_OPERATING_QUALITY_RANK")</f>
        <v>5</v>
      </c>
      <c r="H124" s="4" cm="1">
        <f t="array" ref="H124">_xll.BDP($A124,"UD_GROWTH_PERCENTILE")</f>
        <v>30.7</v>
      </c>
      <c r="I124" s="6" cm="1">
        <f t="array" ref="I124">_xll.BDP($A124,"UD_GROWTH_RANK")</f>
        <v>9</v>
      </c>
      <c r="J124" s="4" cm="1">
        <f t="array" ref="J124">_xll.BDP($A124,"UD_VALUATION_PERCENTILE")</f>
        <v>55.34</v>
      </c>
      <c r="K124" s="4" cm="1">
        <f t="array" ref="K124">_xll.BDP($A124,"UD_VALUATION_RANK")</f>
        <v>66</v>
      </c>
      <c r="L124" s="4" cm="1">
        <f t="array" ref="L124">_xll.BDP($A124,"UD_MOMENTUM_PERCENTILE")</f>
        <v>46.49</v>
      </c>
      <c r="M124" s="4" cm="1">
        <f t="array" ref="M124">_xll.BDP($A124,"UD_MOMENTUM_RANK")</f>
        <v>42</v>
      </c>
      <c r="N124" s="4" cm="1">
        <f t="array" ref="N124">_xll.BDP($A124,"UD_RISK_PERCENTILE")</f>
        <v>86.03</v>
      </c>
    </row>
    <row r="125" spans="1:14" x14ac:dyDescent="0.25">
      <c r="A125" t="str">
        <v>GETIB SS Equity</v>
      </c>
      <c r="B125">
        <v>0.110674404125</v>
      </c>
      <c r="C125" s="3" t="str" cm="1">
        <f t="array" ref="C125">_xll.BDP(A125,"GICS_SECTOR_NAME")</f>
        <v>Health Care</v>
      </c>
      <c r="D125" s="3" t="str" cm="1">
        <f t="array" ref="D125">_xll.BDP(A125,"GICS_INDUSTRY_NAME")</f>
        <v>Health Care Equipment &amp; Suppli</v>
      </c>
      <c r="E125" s="4" cm="1">
        <f t="array" ref="E125">_xll.BDP($A125,"UD_OVERALL_FACTOR_PERCENTILE")</f>
        <v>57.09</v>
      </c>
      <c r="F125" s="5" cm="1">
        <f t="array" ref="F125">IFERROR(_xll.BDP($A125,"UD_OPERATING_QUALITY_FP"),50)</f>
        <v>60.63</v>
      </c>
      <c r="G125" s="4" cm="1">
        <f t="array" ref="G125">_xll.BDP($A125,"UD_OPERATING_QUALITY_RANK")</f>
        <v>66</v>
      </c>
      <c r="H125" s="4" cm="1">
        <f t="array" ref="H125">_xll.BDP($A125,"UD_GROWTH_PERCENTILE")</f>
        <v>56.81</v>
      </c>
      <c r="I125" s="6" cm="1">
        <f t="array" ref="I125">_xll.BDP($A125,"UD_GROWTH_RANK")</f>
        <v>66</v>
      </c>
      <c r="J125" s="4" cm="1">
        <f t="array" ref="J125">_xll.BDP($A125,"UD_VALUATION_PERCENTILE")</f>
        <v>58.37</v>
      </c>
      <c r="K125" s="4" cm="1">
        <f t="array" ref="K125">_xll.BDP($A125,"UD_VALUATION_RANK")</f>
        <v>64</v>
      </c>
      <c r="L125" s="4" cm="1">
        <f t="array" ref="L125">_xll.BDP($A125,"UD_MOMENTUM_PERCENTILE")</f>
        <v>52.22</v>
      </c>
      <c r="M125" s="4" cm="1">
        <f t="array" ref="M125">_xll.BDP($A125,"UD_MOMENTUM_RANK")</f>
        <v>60</v>
      </c>
      <c r="N125" s="4" cm="1">
        <f t="array" ref="N125">_xll.BDP($A125,"UD_RISK_PERCENTILE")</f>
        <v>48.25</v>
      </c>
    </row>
    <row r="126" spans="1:14" x14ac:dyDescent="0.25">
      <c r="A126" t="str">
        <v>GFC FP Equity</v>
      </c>
      <c r="B126">
        <v>9.6874415286000007E-2</v>
      </c>
      <c r="C126" s="3" t="str" cm="1">
        <f t="array" ref="C126">_xll.BDP(A126,"GICS_SECTOR_NAME")</f>
        <v>Real Estate</v>
      </c>
      <c r="D126" s="3" t="str" cm="1">
        <f t="array" ref="D126">_xll.BDP(A126,"GICS_INDUSTRY_NAME")</f>
        <v>Office REITs</v>
      </c>
      <c r="E126" s="4" cm="1">
        <f t="array" ref="E126">_xll.BDP($A126,"UD_OVERALL_FACTOR_PERCENTILE")</f>
        <v>44.67</v>
      </c>
      <c r="F126" s="5" cm="1">
        <f t="array" ref="F126">IFERROR(_xll.BDP($A126,"UD_OPERATING_QUALITY_FP"),50)</f>
        <v>29.95</v>
      </c>
      <c r="G126" s="4" cm="1">
        <f t="array" ref="G126">_xll.BDP($A126,"UD_OPERATING_QUALITY_RANK")</f>
        <v>17</v>
      </c>
      <c r="H126" s="4" cm="1">
        <f t="array" ref="H126">_xll.BDP($A126,"UD_GROWTH_PERCENTILE")</f>
        <v>35.28</v>
      </c>
      <c r="I126" s="6" cm="1">
        <f t="array" ref="I126">_xll.BDP($A126,"UD_GROWTH_RANK")</f>
        <v>17</v>
      </c>
      <c r="J126" s="4" cm="1">
        <f t="array" ref="J126">_xll.BDP($A126,"UD_VALUATION_PERCENTILE")</f>
        <v>57.62</v>
      </c>
      <c r="K126" s="4" cm="1">
        <f t="array" ref="K126">_xll.BDP($A126,"UD_VALUATION_RANK")</f>
        <v>71</v>
      </c>
      <c r="L126" s="4" cm="1">
        <f t="array" ref="L126">_xll.BDP($A126,"UD_MOMENTUM_PERCENTILE")</f>
        <v>46.03</v>
      </c>
      <c r="M126" s="4" cm="1">
        <f t="array" ref="M126">_xll.BDP($A126,"UD_MOMENTUM_RANK")</f>
        <v>40</v>
      </c>
      <c r="N126" s="4" cm="1">
        <f t="array" ref="N126">_xll.BDP($A126,"UD_RISK_PERCENTILE")</f>
        <v>67.489999999999995</v>
      </c>
    </row>
    <row r="127" spans="1:14" x14ac:dyDescent="0.25">
      <c r="A127" t="str">
        <v>GIVN SW Equity</v>
      </c>
      <c r="B127">
        <v>0.46127363738600002</v>
      </c>
      <c r="C127" s="3" t="str" cm="1">
        <f t="array" ref="C127">_xll.BDP(A127,"GICS_SECTOR_NAME")</f>
        <v>Materials</v>
      </c>
      <c r="D127" s="3" t="str" cm="1">
        <f t="array" ref="D127">_xll.BDP(A127,"GICS_INDUSTRY_NAME")</f>
        <v>Chemicals</v>
      </c>
      <c r="E127" s="4" cm="1">
        <f t="array" ref="E127">_xll.BDP($A127,"UD_OVERALL_FACTOR_PERCENTILE")</f>
        <v>54.31</v>
      </c>
      <c r="F127" s="5" cm="1">
        <f t="array" ref="F127">IFERROR(_xll.BDP($A127,"UD_OPERATING_QUALITY_FP"),50)</f>
        <v>94.84</v>
      </c>
      <c r="G127" s="4" cm="1">
        <f t="array" ref="G127">_xll.BDP($A127,"UD_OPERATING_QUALITY_RANK")</f>
        <v>100</v>
      </c>
      <c r="H127" s="4" cm="1">
        <f t="array" ref="H127">_xll.BDP($A127,"UD_GROWTH_PERCENTILE")</f>
        <v>52.93</v>
      </c>
      <c r="I127" s="6" cm="1">
        <f t="array" ref="I127">_xll.BDP($A127,"UD_GROWTH_RANK")</f>
        <v>57</v>
      </c>
      <c r="J127" s="4" cm="1">
        <f t="array" ref="J127">_xll.BDP($A127,"UD_VALUATION_PERCENTILE")</f>
        <v>18.489999999999998</v>
      </c>
      <c r="K127" s="4" cm="1">
        <f t="array" ref="K127">_xll.BDP($A127,"UD_VALUATION_RANK")</f>
        <v>4</v>
      </c>
      <c r="L127" s="4" cm="1">
        <f t="array" ref="L127">_xll.BDP($A127,"UD_MOMENTUM_PERCENTILE")</f>
        <v>50.7</v>
      </c>
      <c r="M127" s="4" cm="1">
        <f t="array" ref="M127">_xll.BDP($A127,"UD_MOMENTUM_RANK")</f>
        <v>55</v>
      </c>
      <c r="N127" s="4" cm="1">
        <f t="array" ref="N127">_xll.BDP($A127,"UD_RISK_PERCENTILE")</f>
        <v>76.53</v>
      </c>
    </row>
    <row r="128" spans="1:14" x14ac:dyDescent="0.25">
      <c r="A128" t="str">
        <v>GLE FP Equity</v>
      </c>
      <c r="B128">
        <v>0.54210188312200003</v>
      </c>
      <c r="C128" s="3" t="str" cm="1">
        <f t="array" ref="C128">_xll.BDP(A128,"GICS_SECTOR_NAME")</f>
        <v>Financials</v>
      </c>
      <c r="D128" s="3" t="str" cm="1">
        <f t="array" ref="D128">_xll.BDP(A128,"GICS_INDUSTRY_NAME")</f>
        <v>Banks</v>
      </c>
      <c r="E128" s="4" cm="1">
        <f t="array" ref="E128">_xll.BDP($A128,"UD_OVERALL_FACTOR_PERCENTILE")</f>
        <v>55.62</v>
      </c>
      <c r="F128" s="5" cm="1">
        <f t="array" ref="F128">IFERROR(_xll.BDP($A128,"UD_OPERATING_QUALITY_FP"),50)</f>
        <v>36.380000000000003</v>
      </c>
      <c r="G128" s="4" cm="1">
        <f t="array" ref="G128">_xll.BDP($A128,"UD_OPERATING_QUALITY_RANK")</f>
        <v>20</v>
      </c>
      <c r="H128" s="4" cm="1">
        <f t="array" ref="H128">_xll.BDP($A128,"UD_GROWTH_PERCENTILE")</f>
        <v>60.81</v>
      </c>
      <c r="I128" s="6" cm="1">
        <f t="array" ref="I128">_xll.BDP($A128,"UD_GROWTH_RANK")</f>
        <v>74</v>
      </c>
      <c r="J128" s="4" cm="1">
        <f t="array" ref="J128">_xll.BDP($A128,"UD_VALUATION_PERCENTILE")</f>
        <v>57.98</v>
      </c>
      <c r="K128" s="4" cm="1">
        <f t="array" ref="K128">_xll.BDP($A128,"UD_VALUATION_RANK")</f>
        <v>77</v>
      </c>
      <c r="L128" s="4" cm="1">
        <f t="array" ref="L128">_xll.BDP($A128,"UD_MOMENTUM_PERCENTILE")</f>
        <v>72.42</v>
      </c>
      <c r="M128" s="4" cm="1">
        <f t="array" ref="M128">_xll.BDP($A128,"UD_MOMENTUM_RANK")</f>
        <v>86</v>
      </c>
      <c r="N128" s="4" cm="1">
        <f t="array" ref="N128">_xll.BDP($A128,"UD_RISK_PERCENTILE")</f>
        <v>22.16</v>
      </c>
    </row>
    <row r="129" spans="1:14" x14ac:dyDescent="0.25">
      <c r="A129" t="str">
        <v>GMAB DC Equity</v>
      </c>
      <c r="B129">
        <v>9.3187868073000002E-2</v>
      </c>
      <c r="C129" s="3" t="str" cm="1">
        <f t="array" ref="C129">_xll.BDP(A129,"GICS_SECTOR_NAME")</f>
        <v>Health Care</v>
      </c>
      <c r="D129" s="3" t="str" cm="1">
        <f t="array" ref="D129">_xll.BDP(A129,"GICS_INDUSTRY_NAME")</f>
        <v>Biotechnology</v>
      </c>
      <c r="E129" s="4" cm="1">
        <f t="array" ref="E129">_xll.BDP($A129,"UD_OVERALL_FACTOR_PERCENTILE")</f>
        <v>72.180000000000007</v>
      </c>
      <c r="F129" s="5" cm="1">
        <f t="array" ref="F129">IFERROR(_xll.BDP($A129,"UD_OPERATING_QUALITY_FP"),50)</f>
        <v>81.66</v>
      </c>
      <c r="G129" s="4" cm="1">
        <f t="array" ref="G129">_xll.BDP($A129,"UD_OPERATING_QUALITY_RANK")</f>
        <v>98</v>
      </c>
      <c r="H129" s="4" cm="1">
        <f t="array" ref="H129">_xll.BDP($A129,"UD_GROWTH_PERCENTILE")</f>
        <v>67.87</v>
      </c>
      <c r="I129" s="6" cm="1">
        <f t="array" ref="I129">_xll.BDP($A129,"UD_GROWTH_RANK")</f>
        <v>87</v>
      </c>
      <c r="J129" s="4" cm="1">
        <f t="array" ref="J129">_xll.BDP($A129,"UD_VALUATION_PERCENTILE")</f>
        <v>79.19</v>
      </c>
      <c r="K129" s="4" cm="1">
        <f t="array" ref="K129">_xll.BDP($A129,"UD_VALUATION_RANK")</f>
        <v>94</v>
      </c>
      <c r="L129" s="4" cm="1">
        <f t="array" ref="L129">_xll.BDP($A129,"UD_MOMENTUM_PERCENTILE")</f>
        <v>55.49</v>
      </c>
      <c r="M129" s="4" cm="1">
        <f t="array" ref="M129">_xll.BDP($A129,"UD_MOMENTUM_RANK")</f>
        <v>67</v>
      </c>
      <c r="N129" s="4" cm="1">
        <f t="array" ref="N129">_xll.BDP($A129,"UD_RISK_PERCENTILE")</f>
        <v>48.24</v>
      </c>
    </row>
    <row r="130" spans="1:14" x14ac:dyDescent="0.25">
      <c r="A130" t="str">
        <v>GRF SM Equity</v>
      </c>
      <c r="B130">
        <v>1.4842599219999999E-3</v>
      </c>
      <c r="C130" s="3" t="str" cm="1">
        <f t="array" ref="C130">_xll.BDP(A130,"GICS_SECTOR_NAME")</f>
        <v>Health Care</v>
      </c>
      <c r="D130" s="3" t="str" cm="1">
        <f t="array" ref="D130">_xll.BDP(A130,"GICS_INDUSTRY_NAME")</f>
        <v>Biotechnology</v>
      </c>
      <c r="E130" s="4" cm="1">
        <f t="array" ref="E130">_xll.BDP($A130,"UD_OVERALL_FACTOR_PERCENTILE")</f>
        <v>58.27</v>
      </c>
      <c r="F130" s="5" cm="1">
        <f t="array" ref="F130">IFERROR(_xll.BDP($A130,"UD_OPERATING_QUALITY_FP"),50)</f>
        <v>40.04</v>
      </c>
      <c r="G130" s="4" cm="1">
        <f t="array" ref="G130">_xll.BDP($A130,"UD_OPERATING_QUALITY_RANK")</f>
        <v>22</v>
      </c>
      <c r="H130" s="4" cm="1">
        <f t="array" ref="H130">_xll.BDP($A130,"UD_GROWTH_PERCENTILE")</f>
        <v>56.85</v>
      </c>
      <c r="I130" s="6" cm="1">
        <f t="array" ref="I130">_xll.BDP($A130,"UD_GROWTH_RANK")</f>
        <v>66</v>
      </c>
      <c r="J130" s="4" cm="1">
        <f t="array" ref="J130">_xll.BDP($A130,"UD_VALUATION_PERCENTILE")</f>
        <v>68.77</v>
      </c>
      <c r="K130" s="4" cm="1">
        <f t="array" ref="K130">_xll.BDP($A130,"UD_VALUATION_RANK")</f>
        <v>86</v>
      </c>
      <c r="L130" s="4" cm="1">
        <f t="array" ref="L130">_xll.BDP($A130,"UD_MOMENTUM_PERCENTILE")</f>
        <v>65.680000000000007</v>
      </c>
      <c r="M130" s="4" cm="1">
        <f t="array" ref="M130">_xll.BDP($A130,"UD_MOMENTUM_RANK")</f>
        <v>88</v>
      </c>
      <c r="N130" s="4" cm="1">
        <f t="array" ref="N130">_xll.BDP($A130,"UD_RISK_PERCENTILE")</f>
        <v>30.32</v>
      </c>
    </row>
    <row r="131" spans="1:14" x14ac:dyDescent="0.25">
      <c r="A131" t="str">
        <v>GSK LN Equity</v>
      </c>
      <c r="B131">
        <v>0.87301989077200004</v>
      </c>
      <c r="C131" s="3" t="str" cm="1">
        <f t="array" ref="C131">_xll.BDP(A131,"GICS_SECTOR_NAME")</f>
        <v>Health Care</v>
      </c>
      <c r="D131" s="3" t="str" cm="1">
        <f t="array" ref="D131">_xll.BDP(A131,"GICS_INDUSTRY_NAME")</f>
        <v>Pharmaceuticals</v>
      </c>
      <c r="E131" s="4" cm="1">
        <f t="array" ref="E131">_xll.BDP($A131,"UD_OVERALL_FACTOR_PERCENTILE")</f>
        <v>66.42</v>
      </c>
      <c r="F131" s="5" cm="1">
        <f t="array" ref="F131">IFERROR(_xll.BDP($A131,"UD_OPERATING_QUALITY_FP"),50)</f>
        <v>64.27</v>
      </c>
      <c r="G131" s="4" cm="1">
        <f t="array" ref="G131">_xll.BDP($A131,"UD_OPERATING_QUALITY_RANK")</f>
        <v>74</v>
      </c>
      <c r="H131" s="4" cm="1">
        <f t="array" ref="H131">_xll.BDP($A131,"UD_GROWTH_PERCENTILE")</f>
        <v>35.119999999999997</v>
      </c>
      <c r="I131" s="6" cm="1">
        <f t="array" ref="I131">_xll.BDP($A131,"UD_GROWTH_RANK")</f>
        <v>17</v>
      </c>
      <c r="J131" s="4" cm="1">
        <f t="array" ref="J131">_xll.BDP($A131,"UD_VALUATION_PERCENTILE")</f>
        <v>87.5</v>
      </c>
      <c r="K131" s="4" cm="1">
        <f t="array" ref="K131">_xll.BDP($A131,"UD_VALUATION_RANK")</f>
        <v>99</v>
      </c>
      <c r="L131" s="4" cm="1">
        <f t="array" ref="L131">_xll.BDP($A131,"UD_MOMENTUM_PERCENTILE")</f>
        <v>46.85</v>
      </c>
      <c r="M131" s="4" cm="1">
        <f t="array" ref="M131">_xll.BDP($A131,"UD_MOMENTUM_RANK")</f>
        <v>40</v>
      </c>
      <c r="N131" s="4" cm="1">
        <f t="array" ref="N131">_xll.BDP($A131,"UD_RISK_PERCENTILE")</f>
        <v>78.010000000000005</v>
      </c>
    </row>
    <row r="132" spans="1:14" x14ac:dyDescent="0.25">
      <c r="A132" t="str">
        <v>HAVAS NA Equity</v>
      </c>
      <c r="B132">
        <v>1.9146029179999999E-2</v>
      </c>
      <c r="C132" s="3" t="str" cm="1">
        <f t="array" ref="C132">_xll.BDP(A132,"GICS_SECTOR_NAME")</f>
        <v>Communication Services</v>
      </c>
      <c r="D132" s="3" t="str" cm="1">
        <f t="array" ref="D132">_xll.BDP(A132,"GICS_INDUSTRY_NAME")</f>
        <v>Media</v>
      </c>
      <c r="E132" s="4" t="str" cm="1">
        <f t="array" ref="E132">_xll.BDP($A132,"UD_OVERALL_FACTOR_PERCENTILE")</f>
        <v>#N/A Field Not Applicable</v>
      </c>
      <c r="F132" s="5" t="str" cm="1">
        <f t="array" ref="F132">IFERROR(_xll.BDP($A132,"UD_OPERATING_QUALITY_FP"),50)</f>
        <v>#N/A Field Not Applicable</v>
      </c>
      <c r="G132" s="4" t="str" cm="1">
        <f t="array" ref="G132">_xll.BDP($A132,"UD_OPERATING_QUALITY_RANK")</f>
        <v>#N/A Field Not Applicable</v>
      </c>
      <c r="H132" s="4" t="str" cm="1">
        <f t="array" ref="H132">_xll.BDP($A132,"UD_GROWTH_PERCENTILE")</f>
        <v>#N/A Field Not Applicable</v>
      </c>
      <c r="I132" s="6" t="str" cm="1">
        <f t="array" ref="I132">_xll.BDP($A132,"UD_GROWTH_RANK")</f>
        <v>#N/A Field Not Applicable</v>
      </c>
      <c r="J132" s="4" t="str" cm="1">
        <f t="array" ref="J132">_xll.BDP($A132,"UD_VALUATION_PERCENTILE")</f>
        <v>#N/A Field Not Applicable</v>
      </c>
      <c r="K132" s="4" t="str" cm="1">
        <f t="array" ref="K132">_xll.BDP($A132,"UD_VALUATION_RANK")</f>
        <v>#N/A Field Not Applicable</v>
      </c>
      <c r="L132" s="4" t="str" cm="1">
        <f t="array" ref="L132">_xll.BDP($A132,"UD_MOMENTUM_PERCENTILE")</f>
        <v>#N/A Field Not Applicable</v>
      </c>
      <c r="M132" s="4" t="str" cm="1">
        <f t="array" ref="M132">_xll.BDP($A132,"UD_MOMENTUM_RANK")</f>
        <v>#N/A Field Not Applicable</v>
      </c>
      <c r="N132" s="4" t="str" cm="1">
        <f t="array" ref="N132">_xll.BDP($A132,"UD_RISK_PERCENTILE")</f>
        <v>#N/A Field Not Applicable</v>
      </c>
    </row>
    <row r="133" spans="1:14" x14ac:dyDescent="0.25">
      <c r="A133" t="str">
        <v>HEIA NA Equity</v>
      </c>
      <c r="B133">
        <v>0.23928558945200001</v>
      </c>
      <c r="C133" s="3" t="str" cm="1">
        <f t="array" ref="C133">_xll.BDP(A133,"GICS_SECTOR_NAME")</f>
        <v>Consumer Staples</v>
      </c>
      <c r="D133" s="3" t="str" cm="1">
        <f t="array" ref="D133">_xll.BDP(A133,"GICS_INDUSTRY_NAME")</f>
        <v>Beverages</v>
      </c>
      <c r="E133" s="4" cm="1">
        <f t="array" ref="E133">_xll.BDP($A133,"UD_OVERALL_FACTOR_PERCENTILE")</f>
        <v>47.46</v>
      </c>
      <c r="F133" s="5" cm="1">
        <f t="array" ref="F133">IFERROR(_xll.BDP($A133,"UD_OPERATING_QUALITY_FP"),50)</f>
        <v>59.62</v>
      </c>
      <c r="G133" s="4" cm="1">
        <f t="array" ref="G133">_xll.BDP($A133,"UD_OPERATING_QUALITY_RANK")</f>
        <v>59</v>
      </c>
      <c r="H133" s="4" cm="1">
        <f t="array" ref="H133">_xll.BDP($A133,"UD_GROWTH_PERCENTILE")</f>
        <v>37.79</v>
      </c>
      <c r="I133" s="6" cm="1">
        <f t="array" ref="I133">_xll.BDP($A133,"UD_GROWTH_RANK")</f>
        <v>22</v>
      </c>
      <c r="J133" s="4" cm="1">
        <f t="array" ref="J133">_xll.BDP($A133,"UD_VALUATION_PERCENTILE")</f>
        <v>41.08</v>
      </c>
      <c r="K133" s="4" cm="1">
        <f t="array" ref="K133">_xll.BDP($A133,"UD_VALUATION_RANK")</f>
        <v>34</v>
      </c>
      <c r="L133" s="4" cm="1">
        <f t="array" ref="L133">_xll.BDP($A133,"UD_MOMENTUM_PERCENTILE")</f>
        <v>41.88</v>
      </c>
      <c r="M133" s="4" cm="1">
        <f t="array" ref="M133">_xll.BDP($A133,"UD_MOMENTUM_RANK")</f>
        <v>28</v>
      </c>
      <c r="N133" s="4" cm="1">
        <f t="array" ref="N133">_xll.BDP($A133,"UD_RISK_PERCENTILE")</f>
        <v>73.45</v>
      </c>
    </row>
    <row r="134" spans="1:14" x14ac:dyDescent="0.25">
      <c r="A134" t="str">
        <v>HEN3 GY Equity</v>
      </c>
      <c r="B134">
        <v>0.2149644024</v>
      </c>
      <c r="C134" s="3" t="str" cm="1">
        <f t="array" ref="C134">_xll.BDP(A134,"GICS_SECTOR_NAME")</f>
        <v>Consumer Staples</v>
      </c>
      <c r="D134" s="3" t="str" cm="1">
        <f t="array" ref="D134">_xll.BDP(A134,"GICS_INDUSTRY_NAME")</f>
        <v>Household Products</v>
      </c>
      <c r="E134" s="4" cm="1">
        <f t="array" ref="E134">_xll.BDP($A134,"UD_OVERALL_FACTOR_PERCENTILE")</f>
        <v>58.63</v>
      </c>
      <c r="F134" s="5" cm="1">
        <f t="array" ref="F134">IFERROR(_xll.BDP($A134,"UD_OPERATING_QUALITY_FP"),50)</f>
        <v>69.67</v>
      </c>
      <c r="G134" s="4" cm="1">
        <f t="array" ref="G134">_xll.BDP($A134,"UD_OPERATING_QUALITY_RANK")</f>
        <v>77</v>
      </c>
      <c r="H134" s="4" cm="1">
        <f t="array" ref="H134">_xll.BDP($A134,"UD_GROWTH_PERCENTILE")</f>
        <v>40.24</v>
      </c>
      <c r="I134" s="6" cm="1">
        <f t="array" ref="I134">_xll.BDP($A134,"UD_GROWTH_RANK")</f>
        <v>28</v>
      </c>
      <c r="J134" s="4" cm="1">
        <f t="array" ref="J134">_xll.BDP($A134,"UD_VALUATION_PERCENTILE")</f>
        <v>58.61</v>
      </c>
      <c r="K134" s="4" cm="1">
        <f t="array" ref="K134">_xll.BDP($A134,"UD_VALUATION_RANK")</f>
        <v>71</v>
      </c>
      <c r="L134" s="4" cm="1">
        <f t="array" ref="L134">_xll.BDP($A134,"UD_MOMENTUM_PERCENTILE")</f>
        <v>47.62</v>
      </c>
      <c r="M134" s="4" cm="1">
        <f t="array" ref="M134">_xll.BDP($A134,"UD_MOMENTUM_RANK")</f>
        <v>42</v>
      </c>
      <c r="N134" s="4" cm="1">
        <f t="array" ref="N134">_xll.BDP($A134,"UD_RISK_PERCENTILE")</f>
        <v>87.96</v>
      </c>
    </row>
    <row r="135" spans="1:14" x14ac:dyDescent="0.25">
      <c r="A135" t="str">
        <v>HIK LN Equity</v>
      </c>
      <c r="B135">
        <v>8.4862745335000003E-2</v>
      </c>
      <c r="C135" s="3" t="str" cm="1">
        <f t="array" ref="C135">_xll.BDP(A135,"GICS_SECTOR_NAME")</f>
        <v>Health Care</v>
      </c>
      <c r="D135" s="3" t="str" cm="1">
        <f t="array" ref="D135">_xll.BDP(A135,"GICS_INDUSTRY_NAME")</f>
        <v>Pharmaceuticals</v>
      </c>
      <c r="E135" s="4" cm="1">
        <f t="array" ref="E135">_xll.BDP($A135,"UD_OVERALL_FACTOR_PERCENTILE")</f>
        <v>62.18</v>
      </c>
      <c r="F135" s="5" cm="1">
        <f t="array" ref="F135">IFERROR(_xll.BDP($A135,"UD_OPERATING_QUALITY_FP"),50)</f>
        <v>57.21</v>
      </c>
      <c r="G135" s="4" cm="1">
        <f t="array" ref="G135">_xll.BDP($A135,"UD_OPERATING_QUALITY_RANK")</f>
        <v>60</v>
      </c>
      <c r="H135" s="4" cm="1">
        <f t="array" ref="H135">_xll.BDP($A135,"UD_GROWTH_PERCENTILE")</f>
        <v>54.22</v>
      </c>
      <c r="I135" s="6" cm="1">
        <f t="array" ref="I135">_xll.BDP($A135,"UD_GROWTH_RANK")</f>
        <v>60</v>
      </c>
      <c r="J135" s="4" cm="1">
        <f t="array" ref="J135">_xll.BDP($A135,"UD_VALUATION_PERCENTILE")</f>
        <v>81.87</v>
      </c>
      <c r="K135" s="4" cm="1">
        <f t="array" ref="K135">_xll.BDP($A135,"UD_VALUATION_RANK")</f>
        <v>97</v>
      </c>
      <c r="L135" s="4" cm="1">
        <f t="array" ref="L135">_xll.BDP($A135,"UD_MOMENTUM_PERCENTILE")</f>
        <v>46.87</v>
      </c>
      <c r="M135" s="4" cm="1">
        <f t="array" ref="M135">_xll.BDP($A135,"UD_MOMENTUM_RANK")</f>
        <v>41</v>
      </c>
      <c r="N135" s="4" cm="1">
        <f t="array" ref="N135">_xll.BDP($A135,"UD_RISK_PERCENTILE")</f>
        <v>68.02</v>
      </c>
    </row>
    <row r="136" spans="1:14" x14ac:dyDescent="0.25">
      <c r="A136" t="str">
        <v>HLMA LN Equity</v>
      </c>
      <c r="B136">
        <v>0.12878341500400001</v>
      </c>
      <c r="C136" s="3" t="str" cm="1">
        <f t="array" ref="C136">_xll.BDP(A136,"GICS_SECTOR_NAME")</f>
        <v>Information Technology</v>
      </c>
      <c r="D136" s="3" t="str" cm="1">
        <f t="array" ref="D136">_xll.BDP(A136,"GICS_INDUSTRY_NAME")</f>
        <v>Electronic Equipment, Instrume</v>
      </c>
      <c r="E136" s="4" cm="1">
        <f t="array" ref="E136">_xll.BDP($A136,"UD_OVERALL_FACTOR_PERCENTILE")</f>
        <v>57.71</v>
      </c>
      <c r="F136" s="5" cm="1">
        <f t="array" ref="F136">IFERROR(_xll.BDP($A136,"UD_OPERATING_QUALITY_FP"),50)</f>
        <v>81.8</v>
      </c>
      <c r="G136" s="4" cm="1">
        <f t="array" ref="G136">_xll.BDP($A136,"UD_OPERATING_QUALITY_RANK")</f>
        <v>96</v>
      </c>
      <c r="H136" s="4" cm="1">
        <f t="array" ref="H136">_xll.BDP($A136,"UD_GROWTH_PERCENTILE")</f>
        <v>68.88</v>
      </c>
      <c r="I136" s="6" cm="1">
        <f t="array" ref="I136">_xll.BDP($A136,"UD_GROWTH_RANK")</f>
        <v>89</v>
      </c>
      <c r="J136" s="4" cm="1">
        <f t="array" ref="J136">_xll.BDP($A136,"UD_VALUATION_PERCENTILE")</f>
        <v>26.04</v>
      </c>
      <c r="K136" s="4" cm="1">
        <f t="array" ref="K136">_xll.BDP($A136,"UD_VALUATION_RANK")</f>
        <v>15</v>
      </c>
      <c r="L136" s="4" cm="1">
        <f t="array" ref="L136">_xll.BDP($A136,"UD_MOMENTUM_PERCENTILE")</f>
        <v>66.239999999999995</v>
      </c>
      <c r="M136" s="4" cm="1">
        <f t="array" ref="M136">_xll.BDP($A136,"UD_MOMENTUM_RANK")</f>
        <v>87</v>
      </c>
      <c r="N136" s="4" cm="1">
        <f t="array" ref="N136">_xll.BDP($A136,"UD_RISK_PERCENTILE")</f>
        <v>80.67</v>
      </c>
    </row>
    <row r="137" spans="1:14" x14ac:dyDescent="0.25">
      <c r="A137" t="str">
        <v>HLN LN Equity</v>
      </c>
      <c r="B137">
        <v>0.43783639840999999</v>
      </c>
      <c r="C137" s="3" t="str" cm="1">
        <f t="array" ref="C137">_xll.BDP(A137,"GICS_SECTOR_NAME")</f>
        <v>Health Care</v>
      </c>
      <c r="D137" s="3" t="str" cm="1">
        <f t="array" ref="D137">_xll.BDP(A137,"GICS_INDUSTRY_NAME")</f>
        <v>Pharmaceuticals</v>
      </c>
      <c r="E137" s="4" cm="1">
        <f t="array" ref="E137">_xll.BDP($A137,"UD_OVERALL_FACTOR_PERCENTILE")</f>
        <v>51.52</v>
      </c>
      <c r="F137" s="5" cm="1">
        <f t="array" ref="F137">IFERROR(_xll.BDP($A137,"UD_OPERATING_QUALITY_FP"),50)</f>
        <v>79.64</v>
      </c>
      <c r="G137" s="4" cm="1">
        <f t="array" ref="G137">_xll.BDP($A137,"UD_OPERATING_QUALITY_RANK")</f>
        <v>95</v>
      </c>
      <c r="H137" s="4" cm="1">
        <f t="array" ref="H137">_xll.BDP($A137,"UD_GROWTH_PERCENTILE")</f>
        <v>68.5</v>
      </c>
      <c r="I137" s="6" cm="1">
        <f t="array" ref="I137">_xll.BDP($A137,"UD_GROWTH_RANK")</f>
        <v>88</v>
      </c>
      <c r="J137" s="4" cm="1">
        <f t="array" ref="J137">_xll.BDP($A137,"UD_VALUATION_PERCENTILE")</f>
        <v>35.79</v>
      </c>
      <c r="K137" s="4" cm="1">
        <f t="array" ref="K137">_xll.BDP($A137,"UD_VALUATION_RANK")</f>
        <v>22</v>
      </c>
      <c r="L137" s="4" cm="1">
        <f t="array" ref="L137">_xll.BDP($A137,"UD_MOMENTUM_PERCENTILE")</f>
        <v>39.6</v>
      </c>
      <c r="M137" s="4" cm="1">
        <f t="array" ref="M137">_xll.BDP($A137,"UD_MOMENTUM_RANK")</f>
        <v>22</v>
      </c>
      <c r="N137" s="4" cm="1">
        <f t="array" ref="N137">_xll.BDP($A137,"UD_RISK_PERCENTILE")</f>
        <v>90.18</v>
      </c>
    </row>
    <row r="138" spans="1:14" x14ac:dyDescent="0.25">
      <c r="A138" t="str">
        <v>HMB SS Equity</v>
      </c>
      <c r="B138">
        <v>0.13506259420899999</v>
      </c>
      <c r="C138" s="3" t="str" cm="1">
        <f t="array" ref="C138">_xll.BDP(A138,"GICS_SECTOR_NAME")</f>
        <v>Consumer Discretionary</v>
      </c>
      <c r="D138" s="3" t="str" cm="1">
        <f t="array" ref="D138">_xll.BDP(A138,"GICS_INDUSTRY_NAME")</f>
        <v>Specialty Retail</v>
      </c>
      <c r="E138" s="4" cm="1">
        <f t="array" ref="E138">_xll.BDP($A138,"UD_OVERALL_FACTOR_PERCENTILE")</f>
        <v>42.25</v>
      </c>
      <c r="F138" s="5" cm="1">
        <f t="array" ref="F138">IFERROR(_xll.BDP($A138,"UD_OPERATING_QUALITY_FP"),50)</f>
        <v>54.4</v>
      </c>
      <c r="G138" s="4" cm="1">
        <f t="array" ref="G138">_xll.BDP($A138,"UD_OPERATING_QUALITY_RANK")</f>
        <v>49</v>
      </c>
      <c r="H138" s="4" cm="1">
        <f t="array" ref="H138">_xll.BDP($A138,"UD_GROWTH_PERCENTILE")</f>
        <v>40.85</v>
      </c>
      <c r="I138" s="6" cm="1">
        <f t="array" ref="I138">_xll.BDP($A138,"UD_GROWTH_RANK")</f>
        <v>30</v>
      </c>
      <c r="J138" s="4" cm="1">
        <f t="array" ref="J138">_xll.BDP($A138,"UD_VALUATION_PERCENTILE")</f>
        <v>34.36</v>
      </c>
      <c r="K138" s="4" cm="1">
        <f t="array" ref="K138">_xll.BDP($A138,"UD_VALUATION_RANK")</f>
        <v>29</v>
      </c>
      <c r="L138" s="4" cm="1">
        <f t="array" ref="L138">_xll.BDP($A138,"UD_MOMENTUM_PERCENTILE")</f>
        <v>38.229999999999997</v>
      </c>
      <c r="M138" s="4" cm="1">
        <f t="array" ref="M138">_xll.BDP($A138,"UD_MOMENTUM_RANK")</f>
        <v>31</v>
      </c>
      <c r="N138" s="4" cm="1">
        <f t="array" ref="N138">_xll.BDP($A138,"UD_RISK_PERCENTILE")</f>
        <v>45.67</v>
      </c>
    </row>
    <row r="139" spans="1:14" x14ac:dyDescent="0.25">
      <c r="A139" t="str">
        <v>HNR1 GY Equity</v>
      </c>
      <c r="B139">
        <v>4.2407133067000002E-2</v>
      </c>
      <c r="C139" s="3" t="str" cm="1">
        <f t="array" ref="C139">_xll.BDP(A139,"GICS_SECTOR_NAME")</f>
        <v>Financials</v>
      </c>
      <c r="D139" s="3" t="str" cm="1">
        <f t="array" ref="D139">_xll.BDP(A139,"GICS_INDUSTRY_NAME")</f>
        <v>Insurance</v>
      </c>
      <c r="E139" s="4" cm="1">
        <f t="array" ref="E139">_xll.BDP($A139,"UD_OVERALL_FACTOR_PERCENTILE")</f>
        <v>45.97</v>
      </c>
      <c r="F139" s="5" cm="1">
        <f t="array" ref="F139">IFERROR(_xll.BDP($A139,"UD_OPERATING_QUALITY_FP"),50)</f>
        <v>57.3</v>
      </c>
      <c r="G139" s="4" cm="1">
        <f t="array" ref="G139">_xll.BDP($A139,"UD_OPERATING_QUALITY_RANK")</f>
        <v>61</v>
      </c>
      <c r="H139" s="4" cm="1">
        <f t="array" ref="H139">_xll.BDP($A139,"UD_GROWTH_PERCENTILE")</f>
        <v>70.12</v>
      </c>
      <c r="I139" s="6" cm="1">
        <f t="array" ref="I139">_xll.BDP($A139,"UD_GROWTH_RANK")</f>
        <v>90</v>
      </c>
      <c r="J139" s="4" cm="1">
        <f t="array" ref="J139">_xll.BDP($A139,"UD_VALUATION_PERCENTILE")</f>
        <v>41.97</v>
      </c>
      <c r="K139" s="4" cm="1">
        <f t="array" ref="K139">_xll.BDP($A139,"UD_VALUATION_RANK")</f>
        <v>39</v>
      </c>
      <c r="L139" s="4" cm="1">
        <f t="array" ref="L139">_xll.BDP($A139,"UD_MOMENTUM_PERCENTILE")</f>
        <v>38.770000000000003</v>
      </c>
      <c r="M139" s="4" cm="1">
        <f t="array" ref="M139">_xll.BDP($A139,"UD_MOMENTUM_RANK")</f>
        <v>4</v>
      </c>
      <c r="N139" s="4" cm="1">
        <f t="array" ref="N139">_xll.BDP($A139,"UD_RISK_PERCENTILE")</f>
        <v>89.3</v>
      </c>
    </row>
    <row r="140" spans="1:14" x14ac:dyDescent="0.25">
      <c r="A140" t="str">
        <v>HOLN SW Equity</v>
      </c>
      <c r="B140">
        <v>0.17866795681200001</v>
      </c>
      <c r="C140" s="3" t="str" cm="1">
        <f t="array" ref="C140">_xll.BDP(A140,"GICS_SECTOR_NAME")</f>
        <v>Materials</v>
      </c>
      <c r="D140" s="3" t="str" cm="1">
        <f t="array" ref="D140">_xll.BDP(A140,"GICS_INDUSTRY_NAME")</f>
        <v>Construction Materials</v>
      </c>
      <c r="E140" s="4" cm="1">
        <f t="array" ref="E140">_xll.BDP($A140,"UD_OVERALL_FACTOR_PERCENTILE")</f>
        <v>43.23</v>
      </c>
      <c r="F140" s="5" cm="1">
        <f t="array" ref="F140">IFERROR(_xll.BDP($A140,"UD_OPERATING_QUALITY_FP"),50)</f>
        <v>75.81</v>
      </c>
      <c r="G140" s="4" cm="1">
        <f t="array" ref="G140">_xll.BDP($A140,"UD_OPERATING_QUALITY_RANK")</f>
        <v>80</v>
      </c>
      <c r="H140" s="4" cm="1">
        <f t="array" ref="H140">_xll.BDP($A140,"UD_GROWTH_PERCENTILE")</f>
        <v>26.25</v>
      </c>
      <c r="I140" s="6" cm="1">
        <f t="array" ref="I140">_xll.BDP($A140,"UD_GROWTH_RANK")</f>
        <v>5</v>
      </c>
      <c r="J140" s="4" cm="1">
        <f t="array" ref="J140">_xll.BDP($A140,"UD_VALUATION_PERCENTILE")</f>
        <v>20.45</v>
      </c>
      <c r="K140" s="4" cm="1">
        <f t="array" ref="K140">_xll.BDP($A140,"UD_VALUATION_RANK")</f>
        <v>7</v>
      </c>
      <c r="L140" s="4" cm="1">
        <f t="array" ref="L140">_xll.BDP($A140,"UD_MOMENTUM_PERCENTILE")</f>
        <v>34.11</v>
      </c>
      <c r="M140" s="4" cm="1">
        <f t="array" ref="M140">_xll.BDP($A140,"UD_MOMENTUM_RANK")</f>
        <v>11</v>
      </c>
      <c r="N140" s="4" cm="1">
        <f t="array" ref="N140">_xll.BDP($A140,"UD_RISK_PERCENTILE")</f>
        <v>33.68</v>
      </c>
    </row>
    <row r="141" spans="1:14" x14ac:dyDescent="0.25">
      <c r="A141" t="str">
        <v>HSBA LN Equity</v>
      </c>
      <c r="B141">
        <v>2.2488049894970001</v>
      </c>
      <c r="C141" s="3" t="str" cm="1">
        <f t="array" ref="C141">_xll.BDP(A141,"GICS_SECTOR_NAME")</f>
        <v>Financials</v>
      </c>
      <c r="D141" s="3" t="str" cm="1">
        <f t="array" ref="D141">_xll.BDP(A141,"GICS_INDUSTRY_NAME")</f>
        <v>Banks</v>
      </c>
      <c r="E141" s="4" cm="1">
        <f t="array" ref="E141">_xll.BDP($A141,"UD_OVERALL_FACTOR_PERCENTILE")</f>
        <v>50.08</v>
      </c>
      <c r="F141" s="5" cm="1">
        <f t="array" ref="F141">IFERROR(_xll.BDP($A141,"UD_OPERATING_QUALITY_FP"),50)</f>
        <v>43.5</v>
      </c>
      <c r="G141" s="4" cm="1">
        <f t="array" ref="G141">_xll.BDP($A141,"UD_OPERATING_QUALITY_RANK")</f>
        <v>34</v>
      </c>
      <c r="H141" s="4" cm="1">
        <f t="array" ref="H141">_xll.BDP($A141,"UD_GROWTH_PERCENTILE")</f>
        <v>56.84</v>
      </c>
      <c r="I141" s="6" cm="1">
        <f t="array" ref="I141">_xll.BDP($A141,"UD_GROWTH_RANK")</f>
        <v>66</v>
      </c>
      <c r="J141" s="4" cm="1">
        <f t="array" ref="J141">_xll.BDP($A141,"UD_VALUATION_PERCENTILE")</f>
        <v>48.94</v>
      </c>
      <c r="K141" s="4" cm="1">
        <f t="array" ref="K141">_xll.BDP($A141,"UD_VALUATION_RANK")</f>
        <v>47</v>
      </c>
      <c r="L141" s="4" cm="1">
        <f t="array" ref="L141">_xll.BDP($A141,"UD_MOMENTUM_PERCENTILE")</f>
        <v>57.85</v>
      </c>
      <c r="M141" s="4" cm="1">
        <f t="array" ref="M141">_xll.BDP($A141,"UD_MOMENTUM_RANK")</f>
        <v>63</v>
      </c>
      <c r="N141" s="4" cm="1">
        <f t="array" ref="N141">_xll.BDP($A141,"UD_RISK_PERCENTILE")</f>
        <v>68.55</v>
      </c>
    </row>
    <row r="142" spans="1:14" x14ac:dyDescent="0.25">
      <c r="A142" t="str">
        <v>IBE SM Equity</v>
      </c>
      <c r="B142">
        <v>1.0027581345309999</v>
      </c>
      <c r="C142" s="3" t="str" cm="1">
        <f t="array" ref="C142">_xll.BDP(A142,"GICS_SECTOR_NAME")</f>
        <v>Utilities</v>
      </c>
      <c r="D142" s="3" t="str" cm="1">
        <f t="array" ref="D142">_xll.BDP(A142,"GICS_INDUSTRY_NAME")</f>
        <v>Electric Utilities</v>
      </c>
      <c r="E142" s="4" cm="1">
        <f t="array" ref="E142">_xll.BDP($A142,"UD_OVERALL_FACTOR_PERCENTILE")</f>
        <v>53.67</v>
      </c>
      <c r="F142" s="5" cm="1">
        <f t="array" ref="F142">IFERROR(_xll.BDP($A142,"UD_OPERATING_QUALITY_FP"),50)</f>
        <v>64.180000000000007</v>
      </c>
      <c r="G142" s="4" cm="1">
        <f t="array" ref="G142">_xll.BDP($A142,"UD_OPERATING_QUALITY_RANK")</f>
        <v>95</v>
      </c>
      <c r="H142" s="4" cm="1">
        <f t="array" ref="H142">_xll.BDP($A142,"UD_GROWTH_PERCENTILE")</f>
        <v>37.4</v>
      </c>
      <c r="I142" s="6" cm="1">
        <f t="array" ref="I142">_xll.BDP($A142,"UD_GROWTH_RANK")</f>
        <v>21</v>
      </c>
      <c r="J142" s="4" cm="1">
        <f t="array" ref="J142">_xll.BDP($A142,"UD_VALUATION_PERCENTILE")</f>
        <v>42.23</v>
      </c>
      <c r="K142" s="4" cm="1">
        <f t="array" ref="K142">_xll.BDP($A142,"UD_VALUATION_RANK")</f>
        <v>16</v>
      </c>
      <c r="L142" s="4" cm="1">
        <f t="array" ref="L142">_xll.BDP($A142,"UD_MOMENTUM_PERCENTILE")</f>
        <v>54.96</v>
      </c>
      <c r="M142" s="4" cm="1">
        <f t="array" ref="M142">_xll.BDP($A142,"UD_MOMENTUM_RANK")</f>
        <v>79</v>
      </c>
      <c r="N142" s="4" cm="1">
        <f t="array" ref="N142">_xll.BDP($A142,"UD_RISK_PERCENTILE")</f>
        <v>85.71</v>
      </c>
    </row>
    <row r="143" spans="1:14" x14ac:dyDescent="0.25">
      <c r="A143" t="str">
        <v>IFX GY Equity</v>
      </c>
      <c r="B143">
        <v>0.33575088886400001</v>
      </c>
      <c r="C143" s="3" t="str" cm="1">
        <f t="array" ref="C143">_xll.BDP(A143,"GICS_SECTOR_NAME")</f>
        <v>Information Technology</v>
      </c>
      <c r="D143" s="3" t="str" cm="1">
        <f t="array" ref="D143">_xll.BDP(A143,"GICS_INDUSTRY_NAME")</f>
        <v>Semiconductors &amp; Semiconductor</v>
      </c>
      <c r="E143" s="4" cm="1">
        <f t="array" ref="E143">_xll.BDP($A143,"UD_OVERALL_FACTOR_PERCENTILE")</f>
        <v>50.83</v>
      </c>
      <c r="F143" s="5" cm="1">
        <f t="array" ref="F143">IFERROR(_xll.BDP($A143,"UD_OPERATING_QUALITY_FP"),50)</f>
        <v>33.47</v>
      </c>
      <c r="G143" s="4" cm="1">
        <f t="array" ref="G143">_xll.BDP($A143,"UD_OPERATING_QUALITY_RANK")</f>
        <v>16</v>
      </c>
      <c r="H143" s="4" cm="1">
        <f t="array" ref="H143">_xll.BDP($A143,"UD_GROWTH_PERCENTILE")</f>
        <v>44.18</v>
      </c>
      <c r="I143" s="6" cm="1">
        <f t="array" ref="I143">_xll.BDP($A143,"UD_GROWTH_RANK")</f>
        <v>37</v>
      </c>
      <c r="J143" s="4" cm="1">
        <f t="array" ref="J143">_xll.BDP($A143,"UD_VALUATION_PERCENTILE")</f>
        <v>59.9</v>
      </c>
      <c r="K143" s="4" cm="1">
        <f t="array" ref="K143">_xll.BDP($A143,"UD_VALUATION_RANK")</f>
        <v>72</v>
      </c>
      <c r="L143" s="4" cm="1">
        <f t="array" ref="L143">_xll.BDP($A143,"UD_MOMENTUM_PERCENTILE")</f>
        <v>58.86</v>
      </c>
      <c r="M143" s="4" cm="1">
        <f t="array" ref="M143">_xll.BDP($A143,"UD_MOMENTUM_RANK")</f>
        <v>75</v>
      </c>
      <c r="N143" s="4" cm="1">
        <f t="array" ref="N143">_xll.BDP($A143,"UD_RISK_PERCENTILE")</f>
        <v>25.62</v>
      </c>
    </row>
    <row r="144" spans="1:14" x14ac:dyDescent="0.25">
      <c r="A144" t="str">
        <v>IHG LN Equity</v>
      </c>
      <c r="B144">
        <v>0.26739956274400001</v>
      </c>
      <c r="C144" s="3" t="str" cm="1">
        <f t="array" ref="C144">_xll.BDP(A144,"GICS_SECTOR_NAME")</f>
        <v>Consumer Discretionary</v>
      </c>
      <c r="D144" s="3" t="str" cm="1">
        <f t="array" ref="D144">_xll.BDP(A144,"GICS_INDUSTRY_NAME")</f>
        <v>Hotels, Restaurants &amp; Leisure</v>
      </c>
      <c r="E144" s="4" cm="1">
        <f t="array" ref="E144">_xll.BDP($A144,"UD_OVERALL_FACTOR_PERCENTILE")</f>
        <v>47.7</v>
      </c>
      <c r="F144" s="5" cm="1">
        <f t="array" ref="F144">IFERROR(_xll.BDP($A144,"UD_OPERATING_QUALITY_FP"),50)</f>
        <v>73.73</v>
      </c>
      <c r="G144" s="4" cm="1">
        <f t="array" ref="G144">_xll.BDP($A144,"UD_OPERATING_QUALITY_RANK")</f>
        <v>85</v>
      </c>
      <c r="H144" s="4" cm="1">
        <f t="array" ref="H144">_xll.BDP($A144,"UD_GROWTH_PERCENTILE")</f>
        <v>62.52</v>
      </c>
      <c r="I144" s="6" cm="1">
        <f t="array" ref="I144">_xll.BDP($A144,"UD_GROWTH_RANK")</f>
        <v>78</v>
      </c>
      <c r="J144" s="4" cm="1">
        <f t="array" ref="J144">_xll.BDP($A144,"UD_VALUATION_PERCENTILE")</f>
        <v>11.57</v>
      </c>
      <c r="K144" s="4" cm="1">
        <f t="array" ref="K144">_xll.BDP($A144,"UD_VALUATION_RANK")</f>
        <v>4</v>
      </c>
      <c r="L144" s="4" cm="1">
        <f t="array" ref="L144">_xll.BDP($A144,"UD_MOMENTUM_PERCENTILE")</f>
        <v>58.9</v>
      </c>
      <c r="M144" s="4" cm="1">
        <f t="array" ref="M144">_xll.BDP($A144,"UD_MOMENTUM_RANK")</f>
        <v>74</v>
      </c>
      <c r="N144" s="4" cm="1">
        <f t="array" ref="N144">_xll.BDP($A144,"UD_RISK_PERCENTILE")</f>
        <v>56.96</v>
      </c>
    </row>
    <row r="145" spans="1:14" x14ac:dyDescent="0.25">
      <c r="A145" t="str">
        <v>III LN Equity</v>
      </c>
      <c r="B145">
        <v>0.59964149237599995</v>
      </c>
      <c r="C145" s="3" t="str" cm="1">
        <f t="array" ref="C145">_xll.BDP(A145,"GICS_SECTOR_NAME")</f>
        <v>Financials</v>
      </c>
      <c r="D145" s="3" t="str" cm="1">
        <f t="array" ref="D145">_xll.BDP(A145,"GICS_INDUSTRY_NAME")</f>
        <v>Capital Markets</v>
      </c>
      <c r="E145" s="4" cm="1">
        <f t="array" ref="E145">_xll.BDP($A145,"UD_OVERALL_FACTOR_PERCENTILE")</f>
        <v>80.12</v>
      </c>
      <c r="F145" s="5" cm="1">
        <f t="array" ref="F145">IFERROR(_xll.BDP($A145,"UD_OPERATING_QUALITY_FP"),50)</f>
        <v>85.56</v>
      </c>
      <c r="G145" s="4" cm="1">
        <f t="array" ref="G145">_xll.BDP($A145,"UD_OPERATING_QUALITY_RANK")</f>
        <v>97</v>
      </c>
      <c r="H145" s="4" cm="1">
        <f t="array" ref="H145">_xll.BDP($A145,"UD_GROWTH_PERCENTILE")</f>
        <v>84.71</v>
      </c>
      <c r="I145" s="6" cm="1">
        <f t="array" ref="I145">_xll.BDP($A145,"UD_GROWTH_RANK")</f>
        <v>99</v>
      </c>
      <c r="J145" s="4" cm="1">
        <f t="array" ref="J145">_xll.BDP($A145,"UD_VALUATION_PERCENTILE")</f>
        <v>62.41</v>
      </c>
      <c r="K145" s="4" cm="1">
        <f t="array" ref="K145">_xll.BDP($A145,"UD_VALUATION_RANK")</f>
        <v>86</v>
      </c>
      <c r="L145" s="4" cm="1">
        <f t="array" ref="L145">_xll.BDP($A145,"UD_MOMENTUM_PERCENTILE")</f>
        <v>92.91</v>
      </c>
      <c r="M145" s="4" cm="1">
        <f t="array" ref="M145">_xll.BDP($A145,"UD_MOMENTUM_RANK")</f>
        <v>100</v>
      </c>
      <c r="N145" s="4" cm="1">
        <f t="array" ref="N145">_xll.BDP($A145,"UD_RISK_PERCENTILE")</f>
        <v>58.09</v>
      </c>
    </row>
    <row r="146" spans="1:14" x14ac:dyDescent="0.25">
      <c r="A146" t="str">
        <v>IMCD NA Equity</v>
      </c>
      <c r="B146">
        <v>6.9123253524000006E-2</v>
      </c>
      <c r="C146" s="3" t="str" cm="1">
        <f t="array" ref="C146">_xll.BDP(A146,"GICS_SECTOR_NAME")</f>
        <v>Industrials</v>
      </c>
      <c r="D146" s="3" t="str" cm="1">
        <f t="array" ref="D146">_xll.BDP(A146,"GICS_INDUSTRY_NAME")</f>
        <v>Trading Companies &amp; Distributo</v>
      </c>
      <c r="E146" s="4" cm="1">
        <f t="array" ref="E146">_xll.BDP($A146,"UD_OVERALL_FACTOR_PERCENTILE")</f>
        <v>55.51</v>
      </c>
      <c r="F146" s="5" cm="1">
        <f t="array" ref="F146">IFERROR(_xll.BDP($A146,"UD_OPERATING_QUALITY_FP"),50)</f>
        <v>83.76</v>
      </c>
      <c r="G146" s="4" cm="1">
        <f t="array" ref="G146">_xll.BDP($A146,"UD_OPERATING_QUALITY_RANK")</f>
        <v>95</v>
      </c>
      <c r="H146" s="4" cm="1">
        <f t="array" ref="H146">_xll.BDP($A146,"UD_GROWTH_PERCENTILE")</f>
        <v>62.89</v>
      </c>
      <c r="I146" s="6" cm="1">
        <f t="array" ref="I146">_xll.BDP($A146,"UD_GROWTH_RANK")</f>
        <v>79</v>
      </c>
      <c r="J146" s="4" cm="1">
        <f t="array" ref="J146">_xll.BDP($A146,"UD_VALUATION_PERCENTILE")</f>
        <v>61.89</v>
      </c>
      <c r="K146" s="4" cm="1">
        <f t="array" ref="K146">_xll.BDP($A146,"UD_VALUATION_RANK")</f>
        <v>78</v>
      </c>
      <c r="L146" s="4" cm="1">
        <f t="array" ref="L146">_xll.BDP($A146,"UD_MOMENTUM_PERCENTILE")</f>
        <v>20.69</v>
      </c>
      <c r="M146" s="4" cm="1">
        <f t="array" ref="M146">_xll.BDP($A146,"UD_MOMENTUM_RANK")</f>
        <v>6</v>
      </c>
      <c r="N146" s="4" cm="1">
        <f t="array" ref="N146">_xll.BDP($A146,"UD_RISK_PERCENTILE")</f>
        <v>35.54</v>
      </c>
    </row>
    <row r="147" spans="1:14" x14ac:dyDescent="0.25">
      <c r="A147" t="str">
        <v>INF LN Equity</v>
      </c>
      <c r="B147">
        <v>0.20424742945499999</v>
      </c>
      <c r="C147" s="3" t="str" cm="1">
        <f t="array" ref="C147">_xll.BDP(A147,"GICS_SECTOR_NAME")</f>
        <v>Communication Services</v>
      </c>
      <c r="D147" s="3" t="str" cm="1">
        <f t="array" ref="D147">_xll.BDP(A147,"GICS_INDUSTRY_NAME")</f>
        <v>Media</v>
      </c>
      <c r="E147" s="4" cm="1">
        <f t="array" ref="E147">_xll.BDP($A147,"UD_OVERALL_FACTOR_PERCENTILE")</f>
        <v>49.6</v>
      </c>
      <c r="F147" s="5" cm="1">
        <f t="array" ref="F147">IFERROR(_xll.BDP($A147,"UD_OPERATING_QUALITY_FP"),50)</f>
        <v>75.819999999999993</v>
      </c>
      <c r="G147" s="4" cm="1">
        <f t="array" ref="G147">_xll.BDP($A147,"UD_OPERATING_QUALITY_RANK")</f>
        <v>93</v>
      </c>
      <c r="H147" s="4" cm="1">
        <f t="array" ref="H147">_xll.BDP($A147,"UD_GROWTH_PERCENTILE")</f>
        <v>45.01</v>
      </c>
      <c r="I147" s="6" cm="1">
        <f t="array" ref="I147">_xll.BDP($A147,"UD_GROWTH_RANK")</f>
        <v>38</v>
      </c>
      <c r="J147" s="4" cm="1">
        <f t="array" ref="J147">_xll.BDP($A147,"UD_VALUATION_PERCENTILE")</f>
        <v>17.559999999999999</v>
      </c>
      <c r="K147" s="4" cm="1">
        <f t="array" ref="K147">_xll.BDP($A147,"UD_VALUATION_RANK")</f>
        <v>2</v>
      </c>
      <c r="L147" s="4" cm="1">
        <f t="array" ref="L147">_xll.BDP($A147,"UD_MOMENTUM_PERCENTILE")</f>
        <v>56.41</v>
      </c>
      <c r="M147" s="4" cm="1">
        <f t="array" ref="M147">_xll.BDP($A147,"UD_MOMENTUM_RANK")</f>
        <v>74</v>
      </c>
      <c r="N147" s="4" cm="1">
        <f t="array" ref="N147">_xll.BDP($A147,"UD_RISK_PERCENTILE")</f>
        <v>60.57</v>
      </c>
    </row>
    <row r="148" spans="1:14" x14ac:dyDescent="0.25">
      <c r="A148" t="str">
        <v>INGA NA Equity</v>
      </c>
      <c r="B148">
        <v>0.75692116424699996</v>
      </c>
      <c r="C148" s="3" t="str" cm="1">
        <f t="array" ref="C148">_xll.BDP(A148,"GICS_SECTOR_NAME")</f>
        <v>Financials</v>
      </c>
      <c r="D148" s="3" t="str" cm="1">
        <f t="array" ref="D148">_xll.BDP(A148,"GICS_INDUSTRY_NAME")</f>
        <v>Banks</v>
      </c>
      <c r="E148" s="4" cm="1">
        <f t="array" ref="E148">_xll.BDP($A148,"UD_OVERALL_FACTOR_PERCENTILE")</f>
        <v>50.48</v>
      </c>
      <c r="F148" s="5" cm="1">
        <f t="array" ref="F148">IFERROR(_xll.BDP($A148,"UD_OPERATING_QUALITY_FP"),50)</f>
        <v>48.45</v>
      </c>
      <c r="G148" s="4" cm="1">
        <f t="array" ref="G148">_xll.BDP($A148,"UD_OPERATING_QUALITY_RANK")</f>
        <v>48</v>
      </c>
      <c r="H148" s="4" cm="1">
        <f t="array" ref="H148">_xll.BDP($A148,"UD_GROWTH_PERCENTILE")</f>
        <v>54.03</v>
      </c>
      <c r="I148" s="6" cm="1">
        <f t="array" ref="I148">_xll.BDP($A148,"UD_GROWTH_RANK")</f>
        <v>59</v>
      </c>
      <c r="J148" s="4" cm="1">
        <f t="array" ref="J148">_xll.BDP($A148,"UD_VALUATION_PERCENTILE")</f>
        <v>49.82</v>
      </c>
      <c r="K148" s="4" cm="1">
        <f t="array" ref="K148">_xll.BDP($A148,"UD_VALUATION_RANK")</f>
        <v>52</v>
      </c>
      <c r="L148" s="4" cm="1">
        <f t="array" ref="L148">_xll.BDP($A148,"UD_MOMENTUM_PERCENTILE")</f>
        <v>53.19</v>
      </c>
      <c r="M148" s="4" cm="1">
        <f t="array" ref="M148">_xll.BDP($A148,"UD_MOMENTUM_RANK")</f>
        <v>57</v>
      </c>
      <c r="N148" s="4" cm="1">
        <f t="array" ref="N148">_xll.BDP($A148,"UD_RISK_PERCENTILE")</f>
        <v>50.1</v>
      </c>
    </row>
    <row r="149" spans="1:14" x14ac:dyDescent="0.25">
      <c r="A149" t="str">
        <v>INPST NA Equity</v>
      </c>
      <c r="B149">
        <v>1.2019912489000001E-2</v>
      </c>
      <c r="C149" s="3" t="str" cm="1">
        <f t="array" ref="C149">_xll.BDP(A149,"GICS_SECTOR_NAME")</f>
        <v>Industrials</v>
      </c>
      <c r="D149" s="3" t="str" cm="1">
        <f t="array" ref="D149">_xll.BDP(A149,"GICS_INDUSTRY_NAME")</f>
        <v>Air Freight &amp; Logistics</v>
      </c>
      <c r="E149" s="4" cm="1">
        <f t="array" ref="E149">_xll.BDP($A149,"UD_OVERALL_FACTOR_PERCENTILE")</f>
        <v>52.6</v>
      </c>
      <c r="F149" s="5" cm="1">
        <f t="array" ref="F149">IFERROR(_xll.BDP($A149,"UD_OPERATING_QUALITY_FP"),50)</f>
        <v>73.91</v>
      </c>
      <c r="G149" s="4" cm="1">
        <f t="array" ref="G149">_xll.BDP($A149,"UD_OPERATING_QUALITY_RANK")</f>
        <v>78</v>
      </c>
      <c r="H149" s="4" cm="1">
        <f t="array" ref="H149">_xll.BDP($A149,"UD_GROWTH_PERCENTILE")</f>
        <v>79.2</v>
      </c>
      <c r="I149" s="6" cm="1">
        <f t="array" ref="I149">_xll.BDP($A149,"UD_GROWTH_RANK")</f>
        <v>97</v>
      </c>
      <c r="J149" s="4" cm="1">
        <f t="array" ref="J149">_xll.BDP($A149,"UD_VALUATION_PERCENTILE")</f>
        <v>51.75</v>
      </c>
      <c r="K149" s="4" cm="1">
        <f t="array" ref="K149">_xll.BDP($A149,"UD_VALUATION_RANK")</f>
        <v>56</v>
      </c>
      <c r="L149" s="4" cm="1">
        <f t="array" ref="L149">_xll.BDP($A149,"UD_MOMENTUM_PERCENTILE")</f>
        <v>32.15</v>
      </c>
      <c r="M149" s="4" cm="1">
        <f t="array" ref="M149">_xll.BDP($A149,"UD_MOMENTUM_RANK")</f>
        <v>17</v>
      </c>
      <c r="N149" s="4" cm="1">
        <f t="array" ref="N149">_xll.BDP($A149,"UD_RISK_PERCENTILE")</f>
        <v>32.29</v>
      </c>
    </row>
    <row r="150" spans="1:14" x14ac:dyDescent="0.25">
      <c r="A150" t="str">
        <v>INVEB SS Equity</v>
      </c>
      <c r="B150">
        <v>0.33087545643900002</v>
      </c>
      <c r="C150" s="3" t="str" cm="1">
        <f t="array" ref="C150">_xll.BDP(A150,"GICS_SECTOR_NAME")</f>
        <v>Financials</v>
      </c>
      <c r="D150" s="3" t="str" cm="1">
        <f t="array" ref="D150">_xll.BDP(A150,"GICS_INDUSTRY_NAME")</f>
        <v>Financial Services</v>
      </c>
      <c r="E150" s="4" cm="1">
        <f t="array" ref="E150">_xll.BDP($A150,"UD_OVERALL_FACTOR_PERCENTILE")</f>
        <v>34.869999999999997</v>
      </c>
      <c r="F150" s="5" cm="1">
        <f t="array" ref="F150">IFERROR(_xll.BDP($A150,"UD_OPERATING_QUALITY_FP"),50)</f>
        <v>13.43</v>
      </c>
      <c r="G150" s="4" cm="1">
        <f t="array" ref="G150">_xll.BDP($A150,"UD_OPERATING_QUALITY_RANK")</f>
        <v>5</v>
      </c>
      <c r="H150" s="4" cm="1">
        <f t="array" ref="H150">_xll.BDP($A150,"UD_GROWTH_PERCENTILE")</f>
        <v>64.150000000000006</v>
      </c>
      <c r="I150" s="6" cm="1">
        <f t="array" ref="I150">_xll.BDP($A150,"UD_GROWTH_RANK")</f>
        <v>80</v>
      </c>
      <c r="J150" s="4" cm="1">
        <f t="array" ref="J150">_xll.BDP($A150,"UD_VALUATION_PERCENTILE")</f>
        <v>24.88</v>
      </c>
      <c r="K150" s="4" cm="1">
        <f t="array" ref="K150">_xll.BDP($A150,"UD_VALUATION_RANK")</f>
        <v>11</v>
      </c>
      <c r="L150" s="4" cm="1">
        <f t="array" ref="L150">_xll.BDP($A150,"UD_MOMENTUM_PERCENTILE")</f>
        <v>66.59</v>
      </c>
      <c r="M150" s="4" cm="1">
        <f t="array" ref="M150">_xll.BDP($A150,"UD_MOMENTUM_RANK")</f>
        <v>79</v>
      </c>
      <c r="N150" s="4" cm="1">
        <f t="array" ref="N150">_xll.BDP($A150,"UD_RISK_PERCENTILE")</f>
        <v>76.989999999999995</v>
      </c>
    </row>
    <row r="151" spans="1:14" x14ac:dyDescent="0.25">
      <c r="A151" t="str">
        <v>IPN FP Equity</v>
      </c>
      <c r="B151">
        <v>0.130807195219</v>
      </c>
      <c r="C151" s="3" t="str" cm="1">
        <f t="array" ref="C151">_xll.BDP(A151,"GICS_SECTOR_NAME")</f>
        <v>Health Care</v>
      </c>
      <c r="D151" s="3" t="str" cm="1">
        <f t="array" ref="D151">_xll.BDP(A151,"GICS_INDUSTRY_NAME")</f>
        <v>Pharmaceuticals</v>
      </c>
      <c r="E151" s="4" cm="1">
        <f t="array" ref="E151">_xll.BDP($A151,"UD_OVERALL_FACTOR_PERCENTILE")</f>
        <v>64.84</v>
      </c>
      <c r="F151" s="5" cm="1">
        <f t="array" ref="F151">IFERROR(_xll.BDP($A151,"UD_OPERATING_QUALITY_FP"),50)</f>
        <v>65.150000000000006</v>
      </c>
      <c r="G151" s="4" cm="1">
        <f t="array" ref="G151">_xll.BDP($A151,"UD_OPERATING_QUALITY_RANK")</f>
        <v>77</v>
      </c>
      <c r="H151" s="4" cm="1">
        <f t="array" ref="H151">_xll.BDP($A151,"UD_GROWTH_PERCENTILE")</f>
        <v>58.46</v>
      </c>
      <c r="I151" s="6" cm="1">
        <f t="array" ref="I151">_xll.BDP($A151,"UD_GROWTH_RANK")</f>
        <v>70</v>
      </c>
      <c r="J151" s="4" cm="1">
        <f t="array" ref="J151">_xll.BDP($A151,"UD_VALUATION_PERCENTILE")</f>
        <v>77.680000000000007</v>
      </c>
      <c r="K151" s="4" cm="1">
        <f t="array" ref="K151">_xll.BDP($A151,"UD_VALUATION_RANK")</f>
        <v>93</v>
      </c>
      <c r="L151" s="4" cm="1">
        <f t="array" ref="L151">_xll.BDP($A151,"UD_MOMENTUM_PERCENTILE")</f>
        <v>51.29</v>
      </c>
      <c r="M151" s="4" cm="1">
        <f t="array" ref="M151">_xll.BDP($A151,"UD_MOMENTUM_RANK")</f>
        <v>57</v>
      </c>
      <c r="N151" s="4" cm="1">
        <f t="array" ref="N151">_xll.BDP($A151,"UD_RISK_PERCENTILE")</f>
        <v>78.010000000000005</v>
      </c>
    </row>
    <row r="152" spans="1:14" x14ac:dyDescent="0.25">
      <c r="A152" t="str">
        <v>ISP IM Equity</v>
      </c>
      <c r="B152">
        <v>0.76314697752500005</v>
      </c>
      <c r="C152" s="3" t="str" cm="1">
        <f t="array" ref="C152">_xll.BDP(A152,"GICS_SECTOR_NAME")</f>
        <v>Financials</v>
      </c>
      <c r="D152" s="3" t="str" cm="1">
        <f t="array" ref="D152">_xll.BDP(A152,"GICS_INDUSTRY_NAME")</f>
        <v>Banks</v>
      </c>
      <c r="E152" s="4" cm="1">
        <f t="array" ref="E152">_xll.BDP($A152,"UD_OVERALL_FACTOR_PERCENTILE")</f>
        <v>55.72</v>
      </c>
      <c r="F152" s="5" cm="1">
        <f t="array" ref="F152">IFERROR(_xll.BDP($A152,"UD_OPERATING_QUALITY_FP"),50)</f>
        <v>50.27</v>
      </c>
      <c r="G152" s="4" cm="1">
        <f t="array" ref="G152">_xll.BDP($A152,"UD_OPERATING_QUALITY_RANK")</f>
        <v>51</v>
      </c>
      <c r="H152" s="4" cm="1">
        <f t="array" ref="H152">_xll.BDP($A152,"UD_GROWTH_PERCENTILE")</f>
        <v>66</v>
      </c>
      <c r="I152" s="6" cm="1">
        <f t="array" ref="I152">_xll.BDP($A152,"UD_GROWTH_RANK")</f>
        <v>84</v>
      </c>
      <c r="J152" s="4" cm="1">
        <f t="array" ref="J152">_xll.BDP($A152,"UD_VALUATION_PERCENTILE")</f>
        <v>53.59</v>
      </c>
      <c r="K152" s="4" cm="1">
        <f t="array" ref="K152">_xll.BDP($A152,"UD_VALUATION_RANK")</f>
        <v>64</v>
      </c>
      <c r="L152" s="4" cm="1">
        <f t="array" ref="L152">_xll.BDP($A152,"UD_MOMENTUM_PERCENTILE")</f>
        <v>63.36</v>
      </c>
      <c r="M152" s="4" cm="1">
        <f t="array" ref="M152">_xll.BDP($A152,"UD_MOMENTUM_RANK")</f>
        <v>73</v>
      </c>
      <c r="N152" s="4" cm="1">
        <f t="array" ref="N152">_xll.BDP($A152,"UD_RISK_PERCENTILE")</f>
        <v>45.97</v>
      </c>
    </row>
    <row r="153" spans="1:14" x14ac:dyDescent="0.25">
      <c r="A153" t="str">
        <v>ITRK LN Equity</v>
      </c>
      <c r="B153">
        <v>9.3347543414000006E-2</v>
      </c>
      <c r="C153" s="3" t="str" cm="1">
        <f t="array" ref="C153">_xll.BDP(A153,"GICS_SECTOR_NAME")</f>
        <v>Industrials</v>
      </c>
      <c r="D153" s="3" t="str" cm="1">
        <f t="array" ref="D153">_xll.BDP(A153,"GICS_INDUSTRY_NAME")</f>
        <v>Professional Services</v>
      </c>
      <c r="E153" s="4" cm="1">
        <f t="array" ref="E153">_xll.BDP($A153,"UD_OVERALL_FACTOR_PERCENTILE")</f>
        <v>54.18</v>
      </c>
      <c r="F153" s="5" cm="1">
        <f t="array" ref="F153">IFERROR(_xll.BDP($A153,"UD_OPERATING_QUALITY_FP"),50)</f>
        <v>84.02</v>
      </c>
      <c r="G153" s="4" cm="1">
        <f t="array" ref="G153">_xll.BDP($A153,"UD_OPERATING_QUALITY_RANK")</f>
        <v>95</v>
      </c>
      <c r="H153" s="4" cm="1">
        <f t="array" ref="H153">_xll.BDP($A153,"UD_GROWTH_PERCENTILE")</f>
        <v>51.53</v>
      </c>
      <c r="I153" s="6" cm="1">
        <f t="array" ref="I153">_xll.BDP($A153,"UD_GROWTH_RANK")</f>
        <v>53</v>
      </c>
      <c r="J153" s="4" cm="1">
        <f t="array" ref="J153">_xll.BDP($A153,"UD_VALUATION_PERCENTILE")</f>
        <v>37.71</v>
      </c>
      <c r="K153" s="4" cm="1">
        <f t="array" ref="K153">_xll.BDP($A153,"UD_VALUATION_RANK")</f>
        <v>36</v>
      </c>
      <c r="L153" s="4" cm="1">
        <f t="array" ref="L153">_xll.BDP($A153,"UD_MOMENTUM_PERCENTILE")</f>
        <v>41.32</v>
      </c>
      <c r="M153" s="4" cm="1">
        <f t="array" ref="M153">_xll.BDP($A153,"UD_MOMENTUM_RANK")</f>
        <v>31</v>
      </c>
      <c r="N153" s="4" cm="1">
        <f t="array" ref="N153">_xll.BDP($A153,"UD_RISK_PERCENTILE")</f>
        <v>77.569999999999993</v>
      </c>
    </row>
    <row r="154" spans="1:14" x14ac:dyDescent="0.25">
      <c r="A154" t="str">
        <v>ITX SM Equity</v>
      </c>
      <c r="B154">
        <v>0.50966990781499999</v>
      </c>
      <c r="C154" s="3" t="str" cm="1">
        <f t="array" ref="C154">_xll.BDP(A154,"GICS_SECTOR_NAME")</f>
        <v>Consumer Discretionary</v>
      </c>
      <c r="D154" s="3" t="str" cm="1">
        <f t="array" ref="D154">_xll.BDP(A154,"GICS_INDUSTRY_NAME")</f>
        <v>Specialty Retail</v>
      </c>
      <c r="E154" s="4" cm="1">
        <f t="array" ref="E154">_xll.BDP($A154,"UD_OVERALL_FACTOR_PERCENTILE")</f>
        <v>43.45</v>
      </c>
      <c r="F154" s="5" cm="1">
        <f t="array" ref="F154">IFERROR(_xll.BDP($A154,"UD_OPERATING_QUALITY_FP"),50)</f>
        <v>63.54</v>
      </c>
      <c r="G154" s="4" cm="1">
        <f t="array" ref="G154">_xll.BDP($A154,"UD_OPERATING_QUALITY_RANK")</f>
        <v>71</v>
      </c>
      <c r="H154" s="4" cm="1">
        <f t="array" ref="H154">_xll.BDP($A154,"UD_GROWTH_PERCENTILE")</f>
        <v>39.76</v>
      </c>
      <c r="I154" s="6" cm="1">
        <f t="array" ref="I154">_xll.BDP($A154,"UD_GROWTH_RANK")</f>
        <v>26</v>
      </c>
      <c r="J154" s="4" cm="1">
        <f t="array" ref="J154">_xll.BDP($A154,"UD_VALUATION_PERCENTILE")</f>
        <v>27.13</v>
      </c>
      <c r="K154" s="4" cm="1">
        <f t="array" ref="K154">_xll.BDP($A154,"UD_VALUATION_RANK")</f>
        <v>15</v>
      </c>
      <c r="L154" s="4" cm="1">
        <f t="array" ref="L154">_xll.BDP($A154,"UD_MOMENTUM_PERCENTILE")</f>
        <v>40.18</v>
      </c>
      <c r="M154" s="4" cm="1">
        <f t="array" ref="M154">_xll.BDP($A154,"UD_MOMENTUM_RANK")</f>
        <v>38</v>
      </c>
      <c r="N154" s="4" cm="1">
        <f t="array" ref="N154">_xll.BDP($A154,"UD_RISK_PERCENTILE")</f>
        <v>57.91</v>
      </c>
    </row>
    <row r="155" spans="1:14" x14ac:dyDescent="0.25">
      <c r="A155" t="str">
        <v>JD/ LN Equity</v>
      </c>
      <c r="B155">
        <v>2.3268718550000001E-2</v>
      </c>
      <c r="C155" s="3" t="str" cm="1">
        <f t="array" ref="C155">_xll.BDP(A155,"GICS_SECTOR_NAME")</f>
        <v>Consumer Discretionary</v>
      </c>
      <c r="D155" s="3" t="str" cm="1">
        <f t="array" ref="D155">_xll.BDP(A155,"GICS_INDUSTRY_NAME")</f>
        <v>Specialty Retail</v>
      </c>
      <c r="E155" s="4" cm="1">
        <f t="array" ref="E155">_xll.BDP($A155,"UD_OVERALL_FACTOR_PERCENTILE")</f>
        <v>60.68</v>
      </c>
      <c r="F155" s="5" cm="1">
        <f t="array" ref="F155">IFERROR(_xll.BDP($A155,"UD_OPERATING_QUALITY_FP"),50)</f>
        <v>68.77</v>
      </c>
      <c r="G155" s="4" cm="1">
        <f t="array" ref="G155">_xll.BDP($A155,"UD_OPERATING_QUALITY_RANK")</f>
        <v>80</v>
      </c>
      <c r="H155" s="4" cm="1">
        <f t="array" ref="H155">_xll.BDP($A155,"UD_GROWTH_PERCENTILE")</f>
        <v>57.82</v>
      </c>
      <c r="I155" s="6" cm="1">
        <f t="array" ref="I155">_xll.BDP($A155,"UD_GROWTH_RANK")</f>
        <v>68</v>
      </c>
      <c r="J155" s="4" cm="1">
        <f t="array" ref="J155">_xll.BDP($A155,"UD_VALUATION_PERCENTILE")</f>
        <v>66.63</v>
      </c>
      <c r="K155" s="4" cm="1">
        <f t="array" ref="K155">_xll.BDP($A155,"UD_VALUATION_RANK")</f>
        <v>79</v>
      </c>
      <c r="L155" s="4" cm="1">
        <f t="array" ref="L155">_xll.BDP($A155,"UD_MOMENTUM_PERCENTILE")</f>
        <v>46.47</v>
      </c>
      <c r="M155" s="4" cm="1">
        <f t="array" ref="M155">_xll.BDP($A155,"UD_MOMENTUM_RANK")</f>
        <v>48</v>
      </c>
      <c r="N155" s="4" cm="1">
        <f t="array" ref="N155">_xll.BDP($A155,"UD_RISK_PERCENTILE")</f>
        <v>14.87</v>
      </c>
    </row>
    <row r="156" spans="1:14" x14ac:dyDescent="0.25">
      <c r="A156" t="str">
        <v>JMT PL Equity</v>
      </c>
      <c r="B156">
        <v>5.4783760422999997E-2</v>
      </c>
      <c r="C156" s="3" t="str" cm="1">
        <f t="array" ref="C156">_xll.BDP(A156,"GICS_SECTOR_NAME")</f>
        <v>Consumer Staples</v>
      </c>
      <c r="D156" s="3" t="str" cm="1">
        <f t="array" ref="D156">_xll.BDP(A156,"GICS_INDUSTRY_NAME")</f>
        <v>Consumer Staples Distribution</v>
      </c>
      <c r="E156" s="4" cm="1">
        <f t="array" ref="E156">_xll.BDP($A156,"UD_OVERALL_FACTOR_PERCENTILE")</f>
        <v>55.06</v>
      </c>
      <c r="F156" s="5" cm="1">
        <f t="array" ref="F156">IFERROR(_xll.BDP($A156,"UD_OPERATING_QUALITY_FP"),50)</f>
        <v>49.93</v>
      </c>
      <c r="G156" s="4" cm="1">
        <f t="array" ref="G156">_xll.BDP($A156,"UD_OPERATING_QUALITY_RANK")</f>
        <v>40</v>
      </c>
      <c r="H156" s="4" cm="1">
        <f t="array" ref="H156">_xll.BDP($A156,"UD_GROWTH_PERCENTILE")</f>
        <v>63.12</v>
      </c>
      <c r="I156" s="6" cm="1">
        <f t="array" ref="I156">_xll.BDP($A156,"UD_GROWTH_RANK")</f>
        <v>79</v>
      </c>
      <c r="J156" s="4" cm="1">
        <f t="array" ref="J156">_xll.BDP($A156,"UD_VALUATION_PERCENTILE")</f>
        <v>51.61</v>
      </c>
      <c r="K156" s="4" cm="1">
        <f t="array" ref="K156">_xll.BDP($A156,"UD_VALUATION_RANK")</f>
        <v>55</v>
      </c>
      <c r="L156" s="4" cm="1">
        <f t="array" ref="L156">_xll.BDP($A156,"UD_MOMENTUM_PERCENTILE")</f>
        <v>63.76</v>
      </c>
      <c r="M156" s="4" cm="1">
        <f t="array" ref="M156">_xll.BDP($A156,"UD_MOMENTUM_RANK")</f>
        <v>89</v>
      </c>
      <c r="N156" s="4" cm="1">
        <f t="array" ref="N156">_xll.BDP($A156,"UD_RISK_PERCENTILE")</f>
        <v>75.540000000000006</v>
      </c>
    </row>
    <row r="157" spans="1:14" x14ac:dyDescent="0.25">
      <c r="A157" t="str">
        <v>KBC BB Equity</v>
      </c>
      <c r="B157">
        <v>0.16204998392700001</v>
      </c>
      <c r="C157" s="3" t="str" cm="1">
        <f t="array" ref="C157">_xll.BDP(A157,"GICS_SECTOR_NAME")</f>
        <v>Financials</v>
      </c>
      <c r="D157" s="3" t="str" cm="1">
        <f t="array" ref="D157">_xll.BDP(A157,"GICS_INDUSTRY_NAME")</f>
        <v>Banks</v>
      </c>
      <c r="E157" s="4" cm="1">
        <f t="array" ref="E157">_xll.BDP($A157,"UD_OVERALL_FACTOR_PERCENTILE")</f>
        <v>52.62</v>
      </c>
      <c r="F157" s="5" cm="1">
        <f t="array" ref="F157">IFERROR(_xll.BDP($A157,"UD_OPERATING_QUALITY_FP"),50)</f>
        <v>58.65</v>
      </c>
      <c r="G157" s="4" cm="1">
        <f t="array" ref="G157">_xll.BDP($A157,"UD_OPERATING_QUALITY_RANK")</f>
        <v>72</v>
      </c>
      <c r="H157" s="4" cm="1">
        <f t="array" ref="H157">_xll.BDP($A157,"UD_GROWTH_PERCENTILE")</f>
        <v>53.89</v>
      </c>
      <c r="I157" s="6" cm="1">
        <f t="array" ref="I157">_xll.BDP($A157,"UD_GROWTH_RANK")</f>
        <v>59</v>
      </c>
      <c r="J157" s="4" cm="1">
        <f t="array" ref="J157">_xll.BDP($A157,"UD_VALUATION_PERCENTILE")</f>
        <v>36.39</v>
      </c>
      <c r="K157" s="4" cm="1">
        <f t="array" ref="K157">_xll.BDP($A157,"UD_VALUATION_RANK")</f>
        <v>26</v>
      </c>
      <c r="L157" s="4" cm="1">
        <f t="array" ref="L157">_xll.BDP($A157,"UD_MOMENTUM_PERCENTILE")</f>
        <v>63.31</v>
      </c>
      <c r="M157" s="4" cm="1">
        <f t="array" ref="M157">_xll.BDP($A157,"UD_MOMENTUM_RANK")</f>
        <v>72</v>
      </c>
      <c r="N157" s="4" cm="1">
        <f t="array" ref="N157">_xll.BDP($A157,"UD_RISK_PERCENTILE")</f>
        <v>54.51</v>
      </c>
    </row>
    <row r="158" spans="1:14" x14ac:dyDescent="0.25">
      <c r="A158" t="str">
        <v>KBX GY Equity</v>
      </c>
      <c r="B158">
        <v>0.19940498933799999</v>
      </c>
      <c r="C158" s="3" t="str" cm="1">
        <f t="array" ref="C158">_xll.BDP(A158,"GICS_SECTOR_NAME")</f>
        <v>Industrials</v>
      </c>
      <c r="D158" s="3" t="str" cm="1">
        <f t="array" ref="D158">_xll.BDP(A158,"GICS_INDUSTRY_NAME")</f>
        <v>Machinery</v>
      </c>
      <c r="E158" s="4" cm="1">
        <f t="array" ref="E158">_xll.BDP($A158,"UD_OVERALL_FACTOR_PERCENTILE")</f>
        <v>47.43</v>
      </c>
      <c r="F158" s="5" cm="1">
        <f t="array" ref="F158">IFERROR(_xll.BDP($A158,"UD_OPERATING_QUALITY_FP"),50)</f>
        <v>58.66</v>
      </c>
      <c r="G158" s="4" cm="1">
        <f t="array" ref="G158">_xll.BDP($A158,"UD_OPERATING_QUALITY_RANK")</f>
        <v>55</v>
      </c>
      <c r="H158" s="4" cm="1">
        <f t="array" ref="H158">_xll.BDP($A158,"UD_GROWTH_PERCENTILE")</f>
        <v>63.79</v>
      </c>
      <c r="I158" s="6" cm="1">
        <f t="array" ref="I158">_xll.BDP($A158,"UD_GROWTH_RANK")</f>
        <v>80</v>
      </c>
      <c r="J158" s="4" cm="1">
        <f t="array" ref="J158">_xll.BDP($A158,"UD_VALUATION_PERCENTILE")</f>
        <v>41.27</v>
      </c>
      <c r="K158" s="4" cm="1">
        <f t="array" ref="K158">_xll.BDP($A158,"UD_VALUATION_RANK")</f>
        <v>39</v>
      </c>
      <c r="L158" s="4" cm="1">
        <f t="array" ref="L158">_xll.BDP($A158,"UD_MOMENTUM_PERCENTILE")</f>
        <v>42.56</v>
      </c>
      <c r="M158" s="4" cm="1">
        <f t="array" ref="M158">_xll.BDP($A158,"UD_MOMENTUM_RANK")</f>
        <v>34</v>
      </c>
      <c r="N158" s="4" cm="1">
        <f t="array" ref="N158">_xll.BDP($A158,"UD_RISK_PERCENTILE")</f>
        <v>55.66</v>
      </c>
    </row>
    <row r="159" spans="1:14" x14ac:dyDescent="0.25">
      <c r="A159" t="str">
        <v>KER FP Equity</v>
      </c>
      <c r="B159">
        <v>0.20004400826999999</v>
      </c>
      <c r="C159" s="3" t="str" cm="1">
        <f t="array" ref="C159">_xll.BDP(A159,"GICS_SECTOR_NAME")</f>
        <v>Consumer Discretionary</v>
      </c>
      <c r="D159" s="3" t="str" cm="1">
        <f t="array" ref="D159">_xll.BDP(A159,"GICS_INDUSTRY_NAME")</f>
        <v>Textiles, Apparel &amp; Luxury Goo</v>
      </c>
      <c r="E159" s="4" cm="1">
        <f t="array" ref="E159">_xll.BDP($A159,"UD_OVERALL_FACTOR_PERCENTILE")</f>
        <v>42.44</v>
      </c>
      <c r="F159" s="5" cm="1">
        <f t="array" ref="F159">IFERROR(_xll.BDP($A159,"UD_OPERATING_QUALITY_FP"),50)</f>
        <v>58.9</v>
      </c>
      <c r="G159" s="4" cm="1">
        <f t="array" ref="G159">_xll.BDP($A159,"UD_OPERATING_QUALITY_RANK")</f>
        <v>58</v>
      </c>
      <c r="H159" s="4" cm="1">
        <f t="array" ref="H159">_xll.BDP($A159,"UD_GROWTH_PERCENTILE")</f>
        <v>51.14</v>
      </c>
      <c r="I159" s="6" cm="1">
        <f t="array" ref="I159">_xll.BDP($A159,"UD_GROWTH_RANK")</f>
        <v>52</v>
      </c>
      <c r="J159" s="4" cm="1">
        <f t="array" ref="J159">_xll.BDP($A159,"UD_VALUATION_PERCENTILE")</f>
        <v>29.37</v>
      </c>
      <c r="K159" s="4" cm="1">
        <f t="array" ref="K159">_xll.BDP($A159,"UD_VALUATION_RANK")</f>
        <v>21</v>
      </c>
      <c r="L159" s="4" cm="1">
        <f t="array" ref="L159">_xll.BDP($A159,"UD_MOMENTUM_PERCENTILE")</f>
        <v>39.450000000000003</v>
      </c>
      <c r="M159" s="4" cm="1">
        <f t="array" ref="M159">_xll.BDP($A159,"UD_MOMENTUM_RANK")</f>
        <v>37</v>
      </c>
      <c r="N159" s="4" cm="1">
        <f t="array" ref="N159">_xll.BDP($A159,"UD_RISK_PERCENTILE")</f>
        <v>27.35</v>
      </c>
    </row>
    <row r="160" spans="1:14" x14ac:dyDescent="0.25">
      <c r="A160" t="str">
        <v>KGF LN Equity</v>
      </c>
      <c r="B160">
        <v>0.115743215117</v>
      </c>
      <c r="C160" s="3" t="str" cm="1">
        <f t="array" ref="C160">_xll.BDP(A160,"GICS_SECTOR_NAME")</f>
        <v>Consumer Discretionary</v>
      </c>
      <c r="D160" s="3" t="str" cm="1">
        <f t="array" ref="D160">_xll.BDP(A160,"GICS_INDUSTRY_NAME")</f>
        <v>Specialty Retail</v>
      </c>
      <c r="E160" s="4" cm="1">
        <f t="array" ref="E160">_xll.BDP($A160,"UD_OVERALL_FACTOR_PERCENTILE")</f>
        <v>56.7</v>
      </c>
      <c r="F160" s="5" cm="1">
        <f t="array" ref="F160">IFERROR(_xll.BDP($A160,"UD_OPERATING_QUALITY_FP"),50)</f>
        <v>51.47</v>
      </c>
      <c r="G160" s="4" cm="1">
        <f t="array" ref="G160">_xll.BDP($A160,"UD_OPERATING_QUALITY_RANK")</f>
        <v>42</v>
      </c>
      <c r="H160" s="4" cm="1">
        <f t="array" ref="H160">_xll.BDP($A160,"UD_GROWTH_PERCENTILE")</f>
        <v>30.36</v>
      </c>
      <c r="I160" s="6" cm="1">
        <f t="array" ref="I160">_xll.BDP($A160,"UD_GROWTH_RANK")</f>
        <v>9</v>
      </c>
      <c r="J160" s="4" cm="1">
        <f t="array" ref="J160">_xll.BDP($A160,"UD_VALUATION_PERCENTILE")</f>
        <v>64.069999999999993</v>
      </c>
      <c r="K160" s="4" cm="1">
        <f t="array" ref="K160">_xll.BDP($A160,"UD_VALUATION_RANK")</f>
        <v>76</v>
      </c>
      <c r="L160" s="4" cm="1">
        <f t="array" ref="L160">_xll.BDP($A160,"UD_MOMENTUM_PERCENTILE")</f>
        <v>54.35</v>
      </c>
      <c r="M160" s="4" cm="1">
        <f t="array" ref="M160">_xll.BDP($A160,"UD_MOMENTUM_RANK")</f>
        <v>61</v>
      </c>
      <c r="N160" s="4" cm="1">
        <f t="array" ref="N160">_xll.BDP($A160,"UD_RISK_PERCENTILE")</f>
        <v>65.47</v>
      </c>
    </row>
    <row r="161" spans="1:14" x14ac:dyDescent="0.25">
      <c r="A161" t="str">
        <v>KNEBV FH Equity</v>
      </c>
      <c r="B161">
        <v>6.2750323684000006E-2</v>
      </c>
      <c r="C161" s="3" t="str" cm="1">
        <f t="array" ref="C161">_xll.BDP(A161,"GICS_SECTOR_NAME")</f>
        <v>Industrials</v>
      </c>
      <c r="D161" s="3" t="str" cm="1">
        <f t="array" ref="D161">_xll.BDP(A161,"GICS_INDUSTRY_NAME")</f>
        <v>Machinery</v>
      </c>
      <c r="E161" s="4" cm="1">
        <f t="array" ref="E161">_xll.BDP($A161,"UD_OVERALL_FACTOR_PERCENTILE")</f>
        <v>52.53</v>
      </c>
      <c r="F161" s="5" cm="1">
        <f t="array" ref="F161">IFERROR(_xll.BDP($A161,"UD_OPERATING_QUALITY_FP"),50)</f>
        <v>85.44</v>
      </c>
      <c r="G161" s="4" cm="1">
        <f t="array" ref="G161">_xll.BDP($A161,"UD_OPERATING_QUALITY_RANK")</f>
        <v>98</v>
      </c>
      <c r="H161" s="4" cm="1">
        <f t="array" ref="H161">_xll.BDP($A161,"UD_GROWTH_PERCENTILE")</f>
        <v>56.87</v>
      </c>
      <c r="I161" s="6" cm="1">
        <f t="array" ref="I161">_xll.BDP($A161,"UD_GROWTH_RANK")</f>
        <v>66</v>
      </c>
      <c r="J161" s="4" cm="1">
        <f t="array" ref="J161">_xll.BDP($A161,"UD_VALUATION_PERCENTILE")</f>
        <v>22.2</v>
      </c>
      <c r="K161" s="4" cm="1">
        <f t="array" ref="K161">_xll.BDP($A161,"UD_VALUATION_RANK")</f>
        <v>15</v>
      </c>
      <c r="L161" s="4" cm="1">
        <f t="array" ref="L161">_xll.BDP($A161,"UD_MOMENTUM_PERCENTILE")</f>
        <v>50.88</v>
      </c>
      <c r="M161" s="4" cm="1">
        <f t="array" ref="M161">_xll.BDP($A161,"UD_MOMENTUM_RANK")</f>
        <v>51</v>
      </c>
      <c r="N161" s="4" cm="1">
        <f t="array" ref="N161">_xll.BDP($A161,"UD_RISK_PERCENTILE")</f>
        <v>49.85</v>
      </c>
    </row>
    <row r="162" spans="1:14" x14ac:dyDescent="0.25">
      <c r="A162" t="str">
        <v>KNIN SW Equity</v>
      </c>
      <c r="B162">
        <v>0.27253667929800002</v>
      </c>
      <c r="C162" s="3" t="str" cm="1">
        <f t="array" ref="C162">_xll.BDP(A162,"GICS_SECTOR_NAME")</f>
        <v>Industrials</v>
      </c>
      <c r="D162" s="3" t="str" cm="1">
        <f t="array" ref="D162">_xll.BDP(A162,"GICS_INDUSTRY_NAME")</f>
        <v>Marine Transportation</v>
      </c>
      <c r="E162" s="4" cm="1">
        <f t="array" ref="E162">_xll.BDP($A162,"UD_OVERALL_FACTOR_PERCENTILE")</f>
        <v>39.69</v>
      </c>
      <c r="F162" s="5" cm="1">
        <f t="array" ref="F162">IFERROR(_xll.BDP($A162,"UD_OPERATING_QUALITY_FP"),50)</f>
        <v>71.739999999999995</v>
      </c>
      <c r="G162" s="4" cm="1">
        <f t="array" ref="G162">_xll.BDP($A162,"UD_OPERATING_QUALITY_RANK")</f>
        <v>75</v>
      </c>
      <c r="H162" s="4" cm="1">
        <f t="array" ref="H162">_xll.BDP($A162,"UD_GROWTH_PERCENTILE")</f>
        <v>26.98</v>
      </c>
      <c r="I162" s="6" cm="1">
        <f t="array" ref="I162">_xll.BDP($A162,"UD_GROWTH_RANK")</f>
        <v>6</v>
      </c>
      <c r="J162" s="4" cm="1">
        <f t="array" ref="J162">_xll.BDP($A162,"UD_VALUATION_PERCENTILE")</f>
        <v>30.82</v>
      </c>
      <c r="K162" s="4" cm="1">
        <f t="array" ref="K162">_xll.BDP($A162,"UD_VALUATION_RANK")</f>
        <v>28</v>
      </c>
      <c r="L162" s="4" cm="1">
        <f t="array" ref="L162">_xll.BDP($A162,"UD_MOMENTUM_PERCENTILE")</f>
        <v>16.78</v>
      </c>
      <c r="M162" s="4" cm="1">
        <f t="array" ref="M162">_xll.BDP($A162,"UD_MOMENTUM_RANK")</f>
        <v>3</v>
      </c>
      <c r="N162" s="4" cm="1">
        <f t="array" ref="N162">_xll.BDP($A162,"UD_RISK_PERCENTILE")</f>
        <v>63.61</v>
      </c>
    </row>
    <row r="163" spans="1:14" x14ac:dyDescent="0.25">
      <c r="A163" t="str">
        <v>KPN NA Equity</v>
      </c>
      <c r="B163">
        <v>0.43910048241799998</v>
      </c>
      <c r="C163" s="3" t="str" cm="1">
        <f t="array" ref="C163">_xll.BDP(A163,"GICS_SECTOR_NAME")</f>
        <v>Communication Services</v>
      </c>
      <c r="D163" s="3" t="str" cm="1">
        <f t="array" ref="D163">_xll.BDP(A163,"GICS_INDUSTRY_NAME")</f>
        <v>Diversified Telecommunication</v>
      </c>
      <c r="E163" s="4" cm="1">
        <f t="array" ref="E163">_xll.BDP($A163,"UD_OVERALL_FACTOR_PERCENTILE")</f>
        <v>43.85</v>
      </c>
      <c r="F163" s="5" cm="1">
        <f t="array" ref="F163">IFERROR(_xll.BDP($A163,"UD_OPERATING_QUALITY_FP"),50)</f>
        <v>56.01</v>
      </c>
      <c r="G163" s="4" cm="1">
        <f t="array" ref="G163">_xll.BDP($A163,"UD_OPERATING_QUALITY_RANK")</f>
        <v>53</v>
      </c>
      <c r="H163" s="4" cm="1">
        <f t="array" ref="H163">_xll.BDP($A163,"UD_GROWTH_PERCENTILE")</f>
        <v>37.56</v>
      </c>
      <c r="I163" s="6" cm="1">
        <f t="array" ref="I163">_xll.BDP($A163,"UD_GROWTH_RANK")</f>
        <v>22</v>
      </c>
      <c r="J163" s="4" cm="1">
        <f t="array" ref="J163">_xll.BDP($A163,"UD_VALUATION_PERCENTILE")</f>
        <v>37.799999999999997</v>
      </c>
      <c r="K163" s="4" cm="1">
        <f t="array" ref="K163">_xll.BDP($A163,"UD_VALUATION_RANK")</f>
        <v>28</v>
      </c>
      <c r="L163" s="4" cm="1">
        <f t="array" ref="L163">_xll.BDP($A163,"UD_MOMENTUM_PERCENTILE")</f>
        <v>37.93</v>
      </c>
      <c r="M163" s="4" cm="1">
        <f t="array" ref="M163">_xll.BDP($A163,"UD_MOMENTUM_RANK")</f>
        <v>18</v>
      </c>
      <c r="N163" s="4" cm="1">
        <f t="array" ref="N163">_xll.BDP($A163,"UD_RISK_PERCENTILE")</f>
        <v>94.84</v>
      </c>
    </row>
    <row r="164" spans="1:14" x14ac:dyDescent="0.25">
      <c r="A164" t="str">
        <v>KSP ID Equity</v>
      </c>
      <c r="B164">
        <v>0.142558968245</v>
      </c>
      <c r="C164" s="3" t="str" cm="1">
        <f t="array" ref="C164">_xll.BDP(A164,"GICS_SECTOR_NAME")</f>
        <v>Industrials</v>
      </c>
      <c r="D164" s="3" t="str" cm="1">
        <f t="array" ref="D164">_xll.BDP(A164,"GICS_INDUSTRY_NAME")</f>
        <v>Building Products</v>
      </c>
      <c r="E164" s="4" cm="1">
        <f t="array" ref="E164">_xll.BDP($A164,"UD_OVERALL_FACTOR_PERCENTILE")</f>
        <v>52.47</v>
      </c>
      <c r="F164" s="5" cm="1">
        <f t="array" ref="F164">IFERROR(_xll.BDP($A164,"UD_OPERATING_QUALITY_FP"),50)</f>
        <v>68.53</v>
      </c>
      <c r="G164" s="4" cm="1">
        <f t="array" ref="G164">_xll.BDP($A164,"UD_OPERATING_QUALITY_RANK")</f>
        <v>70</v>
      </c>
      <c r="H164" s="4" cm="1">
        <f t="array" ref="H164">_xll.BDP($A164,"UD_GROWTH_PERCENTILE")</f>
        <v>59.88</v>
      </c>
      <c r="I164" s="6" cm="1">
        <f t="array" ref="I164">_xll.BDP($A164,"UD_GROWTH_RANK")</f>
        <v>73</v>
      </c>
      <c r="J164" s="4" cm="1">
        <f t="array" ref="J164">_xll.BDP($A164,"UD_VALUATION_PERCENTILE")</f>
        <v>45.57</v>
      </c>
      <c r="K164" s="4" cm="1">
        <f t="array" ref="K164">_xll.BDP($A164,"UD_VALUATION_RANK")</f>
        <v>47</v>
      </c>
      <c r="L164" s="4" cm="1">
        <f t="array" ref="L164">_xll.BDP($A164,"UD_MOMENTUM_PERCENTILE")</f>
        <v>43.5</v>
      </c>
      <c r="M164" s="4" cm="1">
        <f t="array" ref="M164">_xll.BDP($A164,"UD_MOMENTUM_RANK")</f>
        <v>37</v>
      </c>
      <c r="N164" s="4" cm="1">
        <f t="array" ref="N164">_xll.BDP($A164,"UD_RISK_PERCENTILE")</f>
        <v>43.97</v>
      </c>
    </row>
    <row r="165" spans="1:14" x14ac:dyDescent="0.25">
      <c r="A165" t="str">
        <v>KYGA ID Equity</v>
      </c>
      <c r="B165">
        <v>0.137082741886</v>
      </c>
      <c r="C165" s="3" t="str" cm="1">
        <f t="array" ref="C165">_xll.BDP(A165,"GICS_SECTOR_NAME")</f>
        <v>Consumer Staples</v>
      </c>
      <c r="D165" s="3" t="str" cm="1">
        <f t="array" ref="D165">_xll.BDP(A165,"GICS_INDUSTRY_NAME")</f>
        <v>Food Products</v>
      </c>
      <c r="E165" s="4" cm="1">
        <f t="array" ref="E165">_xll.BDP($A165,"UD_OVERALL_FACTOR_PERCENTILE")</f>
        <v>50.47</v>
      </c>
      <c r="F165" s="5" cm="1">
        <f t="array" ref="F165">IFERROR(_xll.BDP($A165,"UD_OPERATING_QUALITY_FP"),50)</f>
        <v>67.55</v>
      </c>
      <c r="G165" s="4" cm="1">
        <f t="array" ref="G165">_xll.BDP($A165,"UD_OPERATING_QUALITY_RANK")</f>
        <v>72</v>
      </c>
      <c r="H165" s="4" cm="1">
        <f t="array" ref="H165">_xll.BDP($A165,"UD_GROWTH_PERCENTILE")</f>
        <v>49.49</v>
      </c>
      <c r="I165" s="6" cm="1">
        <f t="array" ref="I165">_xll.BDP($A165,"UD_GROWTH_RANK")</f>
        <v>48</v>
      </c>
      <c r="J165" s="4" cm="1">
        <f t="array" ref="J165">_xll.BDP($A165,"UD_VALUATION_PERCENTILE")</f>
        <v>42.65</v>
      </c>
      <c r="K165" s="4" cm="1">
        <f t="array" ref="K165">_xll.BDP($A165,"UD_VALUATION_RANK")</f>
        <v>37</v>
      </c>
      <c r="L165" s="4" cm="1">
        <f t="array" ref="L165">_xll.BDP($A165,"UD_MOMENTUM_PERCENTILE")</f>
        <v>41.44</v>
      </c>
      <c r="M165" s="4" cm="1">
        <f t="array" ref="M165">_xll.BDP($A165,"UD_MOMENTUM_RANK")</f>
        <v>25</v>
      </c>
      <c r="N165" s="4" cm="1">
        <f t="array" ref="N165">_xll.BDP($A165,"UD_RISK_PERCENTILE")</f>
        <v>82.79</v>
      </c>
    </row>
    <row r="166" spans="1:14" x14ac:dyDescent="0.25">
      <c r="A166" t="str">
        <v>LAND LN Equity</v>
      </c>
      <c r="B166">
        <v>5.9410825046000003E-2</v>
      </c>
      <c r="C166" s="3" t="str" cm="1">
        <f t="array" ref="C166">_xll.BDP(A166,"GICS_SECTOR_NAME")</f>
        <v>Real Estate</v>
      </c>
      <c r="D166" s="3" t="str" cm="1">
        <f t="array" ref="D166">_xll.BDP(A166,"GICS_INDUSTRY_NAME")</f>
        <v>Diversified REITs</v>
      </c>
      <c r="E166" s="4" cm="1">
        <f t="array" ref="E166">_xll.BDP($A166,"UD_OVERALL_FACTOR_PERCENTILE")</f>
        <v>46.69</v>
      </c>
      <c r="F166" s="5" cm="1">
        <f t="array" ref="F166">IFERROR(_xll.BDP($A166,"UD_OPERATING_QUALITY_FP"),50)</f>
        <v>31.57</v>
      </c>
      <c r="G166" s="4" cm="1">
        <f t="array" ref="G166">_xll.BDP($A166,"UD_OPERATING_QUALITY_RANK")</f>
        <v>23</v>
      </c>
      <c r="H166" s="4" cm="1">
        <f t="array" ref="H166">_xll.BDP($A166,"UD_GROWTH_PERCENTILE")</f>
        <v>49.74</v>
      </c>
      <c r="I166" s="6" cm="1">
        <f t="array" ref="I166">_xll.BDP($A166,"UD_GROWTH_RANK")</f>
        <v>49</v>
      </c>
      <c r="J166" s="4" cm="1">
        <f t="array" ref="J166">_xll.BDP($A166,"UD_VALUATION_PERCENTILE")</f>
        <v>58.63</v>
      </c>
      <c r="K166" s="4" cm="1">
        <f t="array" ref="K166">_xll.BDP($A166,"UD_VALUATION_RANK")</f>
        <v>74</v>
      </c>
      <c r="L166" s="4" cm="1">
        <f t="array" ref="L166">_xll.BDP($A166,"UD_MOMENTUM_PERCENTILE")</f>
        <v>49.51</v>
      </c>
      <c r="M166" s="4" cm="1">
        <f t="array" ref="M166">_xll.BDP($A166,"UD_MOMENTUM_RANK")</f>
        <v>51</v>
      </c>
      <c r="N166" s="4" cm="1">
        <f t="array" ref="N166">_xll.BDP($A166,"UD_RISK_PERCENTILE")</f>
        <v>48.06</v>
      </c>
    </row>
    <row r="167" spans="1:14" x14ac:dyDescent="0.25">
      <c r="A167" t="str">
        <v>LATOB SS Equity</v>
      </c>
      <c r="B167">
        <v>8.7917199392000003E-2</v>
      </c>
      <c r="C167" s="3" t="str" cm="1">
        <f t="array" ref="C167">_xll.BDP(A167,"GICS_SECTOR_NAME")</f>
        <v>Industrials</v>
      </c>
      <c r="D167" s="3" t="str" cm="1">
        <f t="array" ref="D167">_xll.BDP(A167,"GICS_INDUSTRY_NAME")</f>
        <v>Industrial Conglomerates</v>
      </c>
      <c r="E167" s="4" t="str" cm="1">
        <f t="array" ref="E167">_xll.BDP($A167,"UD_OVERALL_FACTOR_PERCENTILE")</f>
        <v>#N/A Field Not Applicable</v>
      </c>
      <c r="F167" s="5" t="str" cm="1">
        <f t="array" ref="F167">IFERROR(_xll.BDP($A167,"UD_OPERATING_QUALITY_FP"),50)</f>
        <v>#N/A Field Not Applicable</v>
      </c>
      <c r="G167" s="4" t="str" cm="1">
        <f t="array" ref="G167">_xll.BDP($A167,"UD_OPERATING_QUALITY_RANK")</f>
        <v>#N/A Field Not Applicable</v>
      </c>
      <c r="H167" s="4" t="str" cm="1">
        <f t="array" ref="H167">_xll.BDP($A167,"UD_GROWTH_PERCENTILE")</f>
        <v>#N/A Field Not Applicable</v>
      </c>
      <c r="I167" s="6" t="str" cm="1">
        <f t="array" ref="I167">_xll.BDP($A167,"UD_GROWTH_RANK")</f>
        <v>#N/A Field Not Applicable</v>
      </c>
      <c r="J167" s="4" t="str" cm="1">
        <f t="array" ref="J167">_xll.BDP($A167,"UD_VALUATION_PERCENTILE")</f>
        <v>#N/A Field Not Applicable</v>
      </c>
      <c r="K167" s="4" t="str" cm="1">
        <f t="array" ref="K167">_xll.BDP($A167,"UD_VALUATION_RANK")</f>
        <v>#N/A Field Not Applicable</v>
      </c>
      <c r="L167" s="4" t="str" cm="1">
        <f t="array" ref="L167">_xll.BDP($A167,"UD_MOMENTUM_PERCENTILE")</f>
        <v>#N/A Field Not Applicable</v>
      </c>
      <c r="M167" s="4" t="str" cm="1">
        <f t="array" ref="M167">_xll.BDP($A167,"UD_MOMENTUM_RANK")</f>
        <v>#N/A Field Not Applicable</v>
      </c>
      <c r="N167" s="4" t="str" cm="1">
        <f t="array" ref="N167">_xll.BDP($A167,"UD_RISK_PERCENTILE")</f>
        <v>#N/A Field Not Applicable</v>
      </c>
    </row>
    <row r="168" spans="1:14" x14ac:dyDescent="0.25">
      <c r="A168" t="str">
        <v>LEG GY Equity</v>
      </c>
      <c r="B168">
        <v>3.5090040444999998E-2</v>
      </c>
      <c r="C168" s="3" t="str" cm="1">
        <f t="array" ref="C168">_xll.BDP(A168,"GICS_SECTOR_NAME")</f>
        <v>Real Estate</v>
      </c>
      <c r="D168" s="3" t="str" cm="1">
        <f t="array" ref="D168">_xll.BDP(A168,"GICS_INDUSTRY_NAME")</f>
        <v>Real Estate Management &amp; Devel</v>
      </c>
      <c r="E168" s="4" cm="1">
        <f t="array" ref="E168">_xll.BDP($A168,"UD_OVERALL_FACTOR_PERCENTILE")</f>
        <v>43.1</v>
      </c>
      <c r="F168" s="5" cm="1">
        <f t="array" ref="F168">IFERROR(_xll.BDP($A168,"UD_OPERATING_QUALITY_FP"),50)</f>
        <v>26.33</v>
      </c>
      <c r="G168" s="4" cm="1">
        <f t="array" ref="G168">_xll.BDP($A168,"UD_OPERATING_QUALITY_RANK")</f>
        <v>10</v>
      </c>
      <c r="H168" s="4" cm="1">
        <f t="array" ref="H168">_xll.BDP($A168,"UD_GROWTH_PERCENTILE")</f>
        <v>43.76</v>
      </c>
      <c r="I168" s="6" cm="1">
        <f t="array" ref="I168">_xll.BDP($A168,"UD_GROWTH_RANK")</f>
        <v>36</v>
      </c>
      <c r="J168" s="4" cm="1">
        <f t="array" ref="J168">_xll.BDP($A168,"UD_VALUATION_PERCENTILE")</f>
        <v>48.74</v>
      </c>
      <c r="K168" s="4" cm="1">
        <f t="array" ref="K168">_xll.BDP($A168,"UD_VALUATION_RANK")</f>
        <v>56</v>
      </c>
      <c r="L168" s="4" cm="1">
        <f t="array" ref="L168">_xll.BDP($A168,"UD_MOMENTUM_PERCENTILE")</f>
        <v>54.07</v>
      </c>
      <c r="M168" s="4" cm="1">
        <f t="array" ref="M168">_xll.BDP($A168,"UD_MOMENTUM_RANK")</f>
        <v>64</v>
      </c>
      <c r="N168" s="4" cm="1">
        <f t="array" ref="N168">_xll.BDP($A168,"UD_RISK_PERCENTILE")</f>
        <v>53</v>
      </c>
    </row>
    <row r="169" spans="1:14" x14ac:dyDescent="0.25">
      <c r="A169" t="str">
        <v>LGEN LN Equity</v>
      </c>
      <c r="B169">
        <v>0.103465102639</v>
      </c>
      <c r="C169" s="3" t="str" cm="1">
        <f t="array" ref="C169">_xll.BDP(A169,"GICS_SECTOR_NAME")</f>
        <v>Financials</v>
      </c>
      <c r="D169" s="3" t="str" cm="1">
        <f t="array" ref="D169">_xll.BDP(A169,"GICS_INDUSTRY_NAME")</f>
        <v>Insurance</v>
      </c>
      <c r="E169" s="4" cm="1">
        <f t="array" ref="E169">_xll.BDP($A169,"UD_OVERALL_FACTOR_PERCENTILE")</f>
        <v>48.11</v>
      </c>
      <c r="F169" s="5" cm="1">
        <f t="array" ref="F169">IFERROR(_xll.BDP($A169,"UD_OPERATING_QUALITY_FP"),50)</f>
        <v>32.22</v>
      </c>
      <c r="G169" s="4" cm="1">
        <f t="array" ref="G169">_xll.BDP($A169,"UD_OPERATING_QUALITY_RANK")</f>
        <v>7</v>
      </c>
      <c r="H169" s="4" cm="1">
        <f t="array" ref="H169">_xll.BDP($A169,"UD_GROWTH_PERCENTILE")</f>
        <v>42.19</v>
      </c>
      <c r="I169" s="6" cm="1">
        <f t="array" ref="I169">_xll.BDP($A169,"UD_GROWTH_RANK")</f>
        <v>32</v>
      </c>
      <c r="J169" s="4" cm="1">
        <f t="array" ref="J169">_xll.BDP($A169,"UD_VALUATION_PERCENTILE")</f>
        <v>70.44</v>
      </c>
      <c r="K169" s="4" cm="1">
        <f t="array" ref="K169">_xll.BDP($A169,"UD_VALUATION_RANK")</f>
        <v>76</v>
      </c>
      <c r="L169" s="4" cm="1">
        <f t="array" ref="L169">_xll.BDP($A169,"UD_MOMENTUM_PERCENTILE")</f>
        <v>41</v>
      </c>
      <c r="M169" s="4" cm="1">
        <f t="array" ref="M169">_xll.BDP($A169,"UD_MOMENTUM_RANK")</f>
        <v>7</v>
      </c>
      <c r="N169" s="4" cm="1">
        <f t="array" ref="N169">_xll.BDP($A169,"UD_RISK_PERCENTILE")</f>
        <v>55.62</v>
      </c>
    </row>
    <row r="170" spans="1:14" x14ac:dyDescent="0.25">
      <c r="A170" t="str">
        <v>LI FP Equity</v>
      </c>
      <c r="B170">
        <v>0.16299837604199999</v>
      </c>
      <c r="C170" s="3" t="str" cm="1">
        <f t="array" ref="C170">_xll.BDP(A170,"GICS_SECTOR_NAME")</f>
        <v>Real Estate</v>
      </c>
      <c r="D170" s="3" t="str" cm="1">
        <f t="array" ref="D170">_xll.BDP(A170,"GICS_INDUSTRY_NAME")</f>
        <v>Retail REITs</v>
      </c>
      <c r="E170" s="4" cm="1">
        <f t="array" ref="E170">_xll.BDP($A170,"UD_OVERALL_FACTOR_PERCENTILE")</f>
        <v>59.43</v>
      </c>
      <c r="F170" s="5" cm="1">
        <f t="array" ref="F170">IFERROR(_xll.BDP($A170,"UD_OPERATING_QUALITY_FP"),50)</f>
        <v>60.88</v>
      </c>
      <c r="G170" s="4" cm="1">
        <f t="array" ref="G170">_xll.BDP($A170,"UD_OPERATING_QUALITY_RANK")</f>
        <v>66</v>
      </c>
      <c r="H170" s="4" cm="1">
        <f t="array" ref="H170">_xll.BDP($A170,"UD_GROWTH_PERCENTILE")</f>
        <v>38.06</v>
      </c>
      <c r="I170" s="6" cm="1">
        <f t="array" ref="I170">_xll.BDP($A170,"UD_GROWTH_RANK")</f>
        <v>23</v>
      </c>
      <c r="J170" s="4" cm="1">
        <f t="array" ref="J170">_xll.BDP($A170,"UD_VALUATION_PERCENTILE")</f>
        <v>47.3</v>
      </c>
      <c r="K170" s="4" cm="1">
        <f t="array" ref="K170">_xll.BDP($A170,"UD_VALUATION_RANK")</f>
        <v>54</v>
      </c>
      <c r="L170" s="4" cm="1">
        <f t="array" ref="L170">_xll.BDP($A170,"UD_MOMENTUM_PERCENTILE")</f>
        <v>70.47</v>
      </c>
      <c r="M170" s="4" cm="1">
        <f t="array" ref="M170">_xll.BDP($A170,"UD_MOMENTUM_RANK")</f>
        <v>91</v>
      </c>
      <c r="N170" s="4" cm="1">
        <f t="array" ref="N170">_xll.BDP($A170,"UD_RISK_PERCENTILE")</f>
        <v>40.68</v>
      </c>
    </row>
    <row r="171" spans="1:14" x14ac:dyDescent="0.25">
      <c r="A171" t="str">
        <v>LISN SW Equity</v>
      </c>
      <c r="B171">
        <v>0.17855326152199999</v>
      </c>
      <c r="C171" s="3" t="str" cm="1">
        <f t="array" ref="C171">_xll.BDP(A171,"GICS_SECTOR_NAME")</f>
        <v>Consumer Staples</v>
      </c>
      <c r="D171" s="3" t="str" cm="1">
        <f t="array" ref="D171">_xll.BDP(A171,"GICS_INDUSTRY_NAME")</f>
        <v>Food Products</v>
      </c>
      <c r="E171" s="4" t="str" cm="1">
        <f t="array" ref="E171">_xll.BDP($A171,"UD_OVERALL_FACTOR_PERCENTILE")</f>
        <v>#N/A Field Not Applicable</v>
      </c>
      <c r="F171" s="5" t="str" cm="1">
        <f t="array" ref="F171">IFERROR(_xll.BDP($A171,"UD_OPERATING_QUALITY_FP"),50)</f>
        <v>#N/A Field Not Applicable</v>
      </c>
      <c r="G171" s="4" t="str" cm="1">
        <f t="array" ref="G171">_xll.BDP($A171,"UD_OPERATING_QUALITY_RANK")</f>
        <v>#N/A Field Not Applicable</v>
      </c>
      <c r="H171" s="4" t="str" cm="1">
        <f t="array" ref="H171">_xll.BDP($A171,"UD_GROWTH_PERCENTILE")</f>
        <v>#N/A Field Not Applicable</v>
      </c>
      <c r="I171" s="6" t="str" cm="1">
        <f t="array" ref="I171">_xll.BDP($A171,"UD_GROWTH_RANK")</f>
        <v>#N/A Field Not Applicable</v>
      </c>
      <c r="J171" s="4" t="str" cm="1">
        <f t="array" ref="J171">_xll.BDP($A171,"UD_VALUATION_PERCENTILE")</f>
        <v>#N/A Field Not Applicable</v>
      </c>
      <c r="K171" s="4" t="str" cm="1">
        <f t="array" ref="K171">_xll.BDP($A171,"UD_VALUATION_RANK")</f>
        <v>#N/A Field Not Applicable</v>
      </c>
      <c r="L171" s="4" t="str" cm="1">
        <f t="array" ref="L171">_xll.BDP($A171,"UD_MOMENTUM_PERCENTILE")</f>
        <v>#N/A Field Not Applicable</v>
      </c>
      <c r="M171" s="4" t="str" cm="1">
        <f t="array" ref="M171">_xll.BDP($A171,"UD_MOMENTUM_RANK")</f>
        <v>#N/A Field Not Applicable</v>
      </c>
      <c r="N171" s="4" t="str" cm="1">
        <f t="array" ref="N171">_xll.BDP($A171,"UD_RISK_PERCENTILE")</f>
        <v>#N/A Field Not Applicable</v>
      </c>
    </row>
    <row r="172" spans="1:14" x14ac:dyDescent="0.25">
      <c r="A172" t="str">
        <v>LLOY LN Equity</v>
      </c>
      <c r="B172">
        <v>0.65979519979000001</v>
      </c>
      <c r="C172" s="3" t="str" cm="1">
        <f t="array" ref="C172">_xll.BDP(A172,"GICS_SECTOR_NAME")</f>
        <v>Financials</v>
      </c>
      <c r="D172" s="3" t="str" cm="1">
        <f t="array" ref="D172">_xll.BDP(A172,"GICS_INDUSTRY_NAME")</f>
        <v>Banks</v>
      </c>
      <c r="E172" s="4" cm="1">
        <f t="array" ref="E172">_xll.BDP($A172,"UD_OVERALL_FACTOR_PERCENTILE")</f>
        <v>51.72</v>
      </c>
      <c r="F172" s="5" cm="1">
        <f t="array" ref="F172">IFERROR(_xll.BDP($A172,"UD_OPERATING_QUALITY_FP"),50)</f>
        <v>43.14</v>
      </c>
      <c r="G172" s="4" cm="1">
        <f t="array" ref="G172">_xll.BDP($A172,"UD_OPERATING_QUALITY_RANK")</f>
        <v>33</v>
      </c>
      <c r="H172" s="4" cm="1">
        <f t="array" ref="H172">_xll.BDP($A172,"UD_GROWTH_PERCENTILE")</f>
        <v>50.61</v>
      </c>
      <c r="I172" s="6" cm="1">
        <f t="array" ref="I172">_xll.BDP($A172,"UD_GROWTH_RANK")</f>
        <v>51</v>
      </c>
      <c r="J172" s="4" cm="1">
        <f t="array" ref="J172">_xll.BDP($A172,"UD_VALUATION_PERCENTILE")</f>
        <v>48.98</v>
      </c>
      <c r="K172" s="4" cm="1">
        <f t="array" ref="K172">_xll.BDP($A172,"UD_VALUATION_RANK")</f>
        <v>48</v>
      </c>
      <c r="L172" s="4" cm="1">
        <f t="array" ref="L172">_xll.BDP($A172,"UD_MOMENTUM_PERCENTILE")</f>
        <v>63.12</v>
      </c>
      <c r="M172" s="4" cm="1">
        <f t="array" ref="M172">_xll.BDP($A172,"UD_MOMENTUM_RANK")</f>
        <v>71</v>
      </c>
      <c r="N172" s="4" cm="1">
        <f t="array" ref="N172">_xll.BDP($A172,"UD_RISK_PERCENTILE")</f>
        <v>40.82</v>
      </c>
    </row>
    <row r="173" spans="1:14" x14ac:dyDescent="0.25">
      <c r="A173" t="str">
        <v>LOGN SW Equity</v>
      </c>
      <c r="B173">
        <v>0.16781583409299999</v>
      </c>
      <c r="C173" s="3" t="str" cm="1">
        <f t="array" ref="C173">_xll.BDP(A173,"GICS_SECTOR_NAME")</f>
        <v>Information Technology</v>
      </c>
      <c r="D173" s="3" t="str" cm="1">
        <f t="array" ref="D173">_xll.BDP(A173,"GICS_INDUSTRY_NAME")</f>
        <v>Technology Hardware, Storage &amp;</v>
      </c>
      <c r="E173" s="4" cm="1">
        <f t="array" ref="E173">_xll.BDP($A173,"UD_OVERALL_FACTOR_PERCENTILE")</f>
        <v>55.11</v>
      </c>
      <c r="F173" s="5" cm="1">
        <f t="array" ref="F173">IFERROR(_xll.BDP($A173,"UD_OPERATING_QUALITY_FP"),50)</f>
        <v>50.43</v>
      </c>
      <c r="G173" s="4" cm="1">
        <f t="array" ref="G173">_xll.BDP($A173,"UD_OPERATING_QUALITY_RANK")</f>
        <v>37</v>
      </c>
      <c r="H173" s="4" cm="1">
        <f t="array" ref="H173">_xll.BDP($A173,"UD_GROWTH_PERCENTILE")</f>
        <v>60.25</v>
      </c>
      <c r="I173" s="6" cm="1">
        <f t="array" ref="I173">_xll.BDP($A173,"UD_GROWTH_RANK")</f>
        <v>73</v>
      </c>
      <c r="J173" s="4" cm="1">
        <f t="array" ref="J173">_xll.BDP($A173,"UD_VALUATION_PERCENTILE")</f>
        <v>34.6</v>
      </c>
      <c r="K173" s="4" cm="1">
        <f t="array" ref="K173">_xll.BDP($A173,"UD_VALUATION_RANK")</f>
        <v>25</v>
      </c>
      <c r="L173" s="4" cm="1">
        <f t="array" ref="L173">_xll.BDP($A173,"UD_MOMENTUM_PERCENTILE")</f>
        <v>80.930000000000007</v>
      </c>
      <c r="M173" s="4" cm="1">
        <f t="array" ref="M173">_xll.BDP($A173,"UD_MOMENTUM_RANK")</f>
        <v>97</v>
      </c>
      <c r="N173" s="4" cm="1">
        <f t="array" ref="N173">_xll.BDP($A173,"UD_RISK_PERCENTILE")</f>
        <v>62.04</v>
      </c>
    </row>
    <row r="174" spans="1:14" x14ac:dyDescent="0.25">
      <c r="A174" t="str">
        <v>LONN SW Equity</v>
      </c>
      <c r="B174">
        <v>0.44541248791299998</v>
      </c>
      <c r="C174" s="3" t="str" cm="1">
        <f t="array" ref="C174">_xll.BDP(A174,"GICS_SECTOR_NAME")</f>
        <v>Health Care</v>
      </c>
      <c r="D174" s="3" t="str" cm="1">
        <f t="array" ref="D174">_xll.BDP(A174,"GICS_INDUSTRY_NAME")</f>
        <v>Life Sciences Tools &amp; Services</v>
      </c>
      <c r="E174" s="4" cm="1">
        <f t="array" ref="E174">_xll.BDP($A174,"UD_OVERALL_FACTOR_PERCENTILE")</f>
        <v>46.53</v>
      </c>
      <c r="F174" s="5" cm="1">
        <f t="array" ref="F174">IFERROR(_xll.BDP($A174,"UD_OPERATING_QUALITY_FP"),50)</f>
        <v>50.6</v>
      </c>
      <c r="G174" s="4" cm="1">
        <f t="array" ref="G174">_xll.BDP($A174,"UD_OPERATING_QUALITY_RANK")</f>
        <v>45</v>
      </c>
      <c r="H174" s="4" cm="1">
        <f t="array" ref="H174">_xll.BDP($A174,"UD_GROWTH_PERCENTILE")</f>
        <v>61.01</v>
      </c>
      <c r="I174" s="6" cm="1">
        <f t="array" ref="I174">_xll.BDP($A174,"UD_GROWTH_RANK")</f>
        <v>75</v>
      </c>
      <c r="J174" s="4" cm="1">
        <f t="array" ref="J174">_xll.BDP($A174,"UD_VALUATION_PERCENTILE")</f>
        <v>33.409999999999997</v>
      </c>
      <c r="K174" s="4" cm="1">
        <f t="array" ref="K174">_xll.BDP($A174,"UD_VALUATION_RANK")</f>
        <v>18</v>
      </c>
      <c r="L174" s="4" cm="1">
        <f t="array" ref="L174">_xll.BDP($A174,"UD_MOMENTUM_PERCENTILE")</f>
        <v>55.97</v>
      </c>
      <c r="M174" s="4" cm="1">
        <f t="array" ref="M174">_xll.BDP($A174,"UD_MOMENTUM_RANK")</f>
        <v>69</v>
      </c>
      <c r="N174" s="4" cm="1">
        <f t="array" ref="N174">_xll.BDP($A174,"UD_RISK_PERCENTILE")</f>
        <v>59.99</v>
      </c>
    </row>
    <row r="175" spans="1:14" x14ac:dyDescent="0.25">
      <c r="A175" t="str">
        <v>LR FP Equity</v>
      </c>
      <c r="B175">
        <v>0.43064671032500002</v>
      </c>
      <c r="C175" s="3" t="str" cm="1">
        <f t="array" ref="C175">_xll.BDP(A175,"GICS_SECTOR_NAME")</f>
        <v>Industrials</v>
      </c>
      <c r="D175" s="3" t="str" cm="1">
        <f t="array" ref="D175">_xll.BDP(A175,"GICS_INDUSTRY_NAME")</f>
        <v>Electrical Equipment</v>
      </c>
      <c r="E175" s="4" cm="1">
        <f t="array" ref="E175">_xll.BDP($A175,"UD_OVERALL_FACTOR_PERCENTILE")</f>
        <v>56.35</v>
      </c>
      <c r="F175" s="5" cm="1">
        <f t="array" ref="F175">IFERROR(_xll.BDP($A175,"UD_OPERATING_QUALITY_FP"),50)</f>
        <v>77.760000000000005</v>
      </c>
      <c r="G175" s="4" cm="1">
        <f t="array" ref="G175">_xll.BDP($A175,"UD_OPERATING_QUALITY_RANK")</f>
        <v>85</v>
      </c>
      <c r="H175" s="4" cm="1">
        <f t="array" ref="H175">_xll.BDP($A175,"UD_GROWTH_PERCENTILE")</f>
        <v>49.45</v>
      </c>
      <c r="I175" s="6" cm="1">
        <f t="array" ref="I175">_xll.BDP($A175,"UD_GROWTH_RANK")</f>
        <v>48</v>
      </c>
      <c r="J175" s="4" cm="1">
        <f t="array" ref="J175">_xll.BDP($A175,"UD_VALUATION_PERCENTILE")</f>
        <v>20.8</v>
      </c>
      <c r="K175" s="4" cm="1">
        <f t="array" ref="K175">_xll.BDP($A175,"UD_VALUATION_RANK")</f>
        <v>11</v>
      </c>
      <c r="L175" s="4" cm="1">
        <f t="array" ref="L175">_xll.BDP($A175,"UD_MOMENTUM_PERCENTILE")</f>
        <v>71.569999999999993</v>
      </c>
      <c r="M175" s="4" cm="1">
        <f t="array" ref="M175">_xll.BDP($A175,"UD_MOMENTUM_RANK")</f>
        <v>87</v>
      </c>
      <c r="N175" s="4" cm="1">
        <f t="array" ref="N175">_xll.BDP($A175,"UD_RISK_PERCENTILE")</f>
        <v>66.209999999999994</v>
      </c>
    </row>
    <row r="176" spans="1:14" x14ac:dyDescent="0.25">
      <c r="A176" t="str">
        <v>LSEG LN Equity</v>
      </c>
      <c r="B176">
        <v>0.46262985754699998</v>
      </c>
      <c r="C176" s="3" t="str" cm="1">
        <f t="array" ref="C176">_xll.BDP(A176,"GICS_SECTOR_NAME")</f>
        <v>Financials</v>
      </c>
      <c r="D176" s="3" t="str" cm="1">
        <f t="array" ref="D176">_xll.BDP(A176,"GICS_INDUSTRY_NAME")</f>
        <v>Capital Markets</v>
      </c>
      <c r="E176" s="4" cm="1">
        <f t="array" ref="E176">_xll.BDP($A176,"UD_OVERALL_FACTOR_PERCENTILE")</f>
        <v>37.909999999999997</v>
      </c>
      <c r="F176" s="5" cm="1">
        <f t="array" ref="F176">IFERROR(_xll.BDP($A176,"UD_OPERATING_QUALITY_FP"),50)</f>
        <v>48.45</v>
      </c>
      <c r="G176" s="4" cm="1">
        <f t="array" ref="G176">_xll.BDP($A176,"UD_OPERATING_QUALITY_RANK")</f>
        <v>40</v>
      </c>
      <c r="H176" s="4" cm="1">
        <f t="array" ref="H176">_xll.BDP($A176,"UD_GROWTH_PERCENTILE")</f>
        <v>68.069999999999993</v>
      </c>
      <c r="I176" s="6" cm="1">
        <f t="array" ref="I176">_xll.BDP($A176,"UD_GROWTH_RANK")</f>
        <v>88</v>
      </c>
      <c r="J176" s="4" cm="1">
        <f t="array" ref="J176">_xll.BDP($A176,"UD_VALUATION_PERCENTILE")</f>
        <v>14.75</v>
      </c>
      <c r="K176" s="4" cm="1">
        <f t="array" ref="K176">_xll.BDP($A176,"UD_VALUATION_RANK")</f>
        <v>3</v>
      </c>
      <c r="L176" s="4" cm="1">
        <f t="array" ref="L176">_xll.BDP($A176,"UD_MOMENTUM_PERCENTILE")</f>
        <v>51.22</v>
      </c>
      <c r="M176" s="4" cm="1">
        <f t="array" ref="M176">_xll.BDP($A176,"UD_MOMENTUM_RANK")</f>
        <v>45</v>
      </c>
      <c r="N176" s="4" cm="1">
        <f t="array" ref="N176">_xll.BDP($A176,"UD_RISK_PERCENTILE")</f>
        <v>72.84</v>
      </c>
    </row>
    <row r="177" spans="1:14" x14ac:dyDescent="0.25">
      <c r="A177" t="str">
        <v>MAERSKB DC Equity</v>
      </c>
      <c r="B177">
        <v>0.21802497311499999</v>
      </c>
      <c r="C177" s="3" t="str" cm="1">
        <f t="array" ref="C177">_xll.BDP(A177,"GICS_SECTOR_NAME")</f>
        <v>Industrials</v>
      </c>
      <c r="D177" s="3" t="str" cm="1">
        <f t="array" ref="D177">_xll.BDP(A177,"GICS_INDUSTRY_NAME")</f>
        <v>Marine Transportation</v>
      </c>
      <c r="E177" s="4" cm="1">
        <f t="array" ref="E177">_xll.BDP($A177,"UD_OVERALL_FACTOR_PERCENTILE")</f>
        <v>60.19</v>
      </c>
      <c r="F177" s="5" cm="1">
        <f t="array" ref="F177">IFERROR(_xll.BDP($A177,"UD_OPERATING_QUALITY_FP"),50)</f>
        <v>24.31</v>
      </c>
      <c r="G177" s="4" cm="1">
        <f t="array" ref="G177">_xll.BDP($A177,"UD_OPERATING_QUALITY_RANK")</f>
        <v>4</v>
      </c>
      <c r="H177" s="4" cm="1">
        <f t="array" ref="H177">_xll.BDP($A177,"UD_GROWTH_PERCENTILE")</f>
        <v>12.08</v>
      </c>
      <c r="I177" s="6" cm="1">
        <f t="array" ref="I177">_xll.BDP($A177,"UD_GROWTH_RANK")</f>
        <v>0</v>
      </c>
      <c r="J177" s="4" cm="1">
        <f t="array" ref="J177">_xll.BDP($A177,"UD_VALUATION_PERCENTILE")</f>
        <v>73.849999999999994</v>
      </c>
      <c r="K177" s="4" cm="1">
        <f t="array" ref="K177">_xll.BDP($A177,"UD_VALUATION_RANK")</f>
        <v>93</v>
      </c>
      <c r="L177" s="4" cm="1">
        <f t="array" ref="L177">_xll.BDP($A177,"UD_MOMENTUM_PERCENTILE")</f>
        <v>82</v>
      </c>
      <c r="M177" s="4" cm="1">
        <f t="array" ref="M177">_xll.BDP($A177,"UD_MOMENTUM_RANK")</f>
        <v>97</v>
      </c>
      <c r="N177" s="4" cm="1">
        <f t="array" ref="N177">_xll.BDP($A177,"UD_RISK_PERCENTILE")</f>
        <v>47.93</v>
      </c>
    </row>
    <row r="178" spans="1:14" x14ac:dyDescent="0.25">
      <c r="A178" t="str">
        <v>MB IM Equity</v>
      </c>
      <c r="B178">
        <v>2.3228984269999999E-2</v>
      </c>
      <c r="C178" s="3" t="str" cm="1">
        <f t="array" ref="C178">_xll.BDP(A178,"GICS_SECTOR_NAME")</f>
        <v>Financials</v>
      </c>
      <c r="D178" s="3" t="str" cm="1">
        <f t="array" ref="D178">_xll.BDP(A178,"GICS_INDUSTRY_NAME")</f>
        <v>Banks</v>
      </c>
      <c r="E178" s="4" cm="1">
        <f t="array" ref="E178">_xll.BDP($A178,"UD_OVERALL_FACTOR_PERCENTILE")</f>
        <v>42.54</v>
      </c>
      <c r="F178" s="5" cm="1">
        <f t="array" ref="F178">IFERROR(_xll.BDP($A178,"UD_OPERATING_QUALITY_FP"),50)</f>
        <v>50.54</v>
      </c>
      <c r="G178" s="4" cm="1">
        <f t="array" ref="G178">_xll.BDP($A178,"UD_OPERATING_QUALITY_RANK")</f>
        <v>52</v>
      </c>
      <c r="H178" s="4" cm="1">
        <f t="array" ref="H178">_xll.BDP($A178,"UD_GROWTH_PERCENTILE")</f>
        <v>62.62</v>
      </c>
      <c r="I178" s="6" cm="1">
        <f t="array" ref="I178">_xll.BDP($A178,"UD_GROWTH_RANK")</f>
        <v>78</v>
      </c>
      <c r="J178" s="4" cm="1">
        <f t="array" ref="J178">_xll.BDP($A178,"UD_VALUATION_PERCENTILE")</f>
        <v>33.58</v>
      </c>
      <c r="K178" s="4" cm="1">
        <f t="array" ref="K178">_xll.BDP($A178,"UD_VALUATION_RANK")</f>
        <v>23</v>
      </c>
      <c r="L178" s="4" cm="1">
        <f t="array" ref="L178">_xll.BDP($A178,"UD_MOMENTUM_PERCENTILE")</f>
        <v>43.76</v>
      </c>
      <c r="M178" s="4" cm="1">
        <f t="array" ref="M178">_xll.BDP($A178,"UD_MOMENTUM_RANK")</f>
        <v>38</v>
      </c>
      <c r="N178" s="4" cm="1">
        <f t="array" ref="N178">_xll.BDP($A178,"UD_RISK_PERCENTILE")</f>
        <v>62.39</v>
      </c>
    </row>
    <row r="179" spans="1:14" x14ac:dyDescent="0.25">
      <c r="A179" t="str">
        <v>MBG GY Equity</v>
      </c>
      <c r="B179">
        <v>0.391299663139</v>
      </c>
      <c r="C179" s="3" t="str" cm="1">
        <f t="array" ref="C179">_xll.BDP(A179,"GICS_SECTOR_NAME")</f>
        <v>Consumer Discretionary</v>
      </c>
      <c r="D179" s="3" t="str" cm="1">
        <f t="array" ref="D179">_xll.BDP(A179,"GICS_INDUSTRY_NAME")</f>
        <v>Automobiles</v>
      </c>
      <c r="E179" s="4" cm="1">
        <f t="array" ref="E179">_xll.BDP($A179,"UD_OVERALL_FACTOR_PERCENTILE")</f>
        <v>59.44</v>
      </c>
      <c r="F179" s="5" cm="1">
        <f t="array" ref="F179">IFERROR(_xll.BDP($A179,"UD_OPERATING_QUALITY_FP"),50)</f>
        <v>51.35</v>
      </c>
      <c r="G179" s="4" cm="1">
        <f t="array" ref="G179">_xll.BDP($A179,"UD_OPERATING_QUALITY_RANK")</f>
        <v>41</v>
      </c>
      <c r="H179" s="4" cm="1">
        <f t="array" ref="H179">_xll.BDP($A179,"UD_GROWTH_PERCENTILE")</f>
        <v>14.54</v>
      </c>
      <c r="I179" s="6" cm="1">
        <f t="array" ref="I179">_xll.BDP($A179,"UD_GROWTH_RANK")</f>
        <v>1</v>
      </c>
      <c r="J179" s="4" cm="1">
        <f t="array" ref="J179">_xll.BDP($A179,"UD_VALUATION_PERCENTILE")</f>
        <v>90.06</v>
      </c>
      <c r="K179" s="4" cm="1">
        <f t="array" ref="K179">_xll.BDP($A179,"UD_VALUATION_RANK")</f>
        <v>99</v>
      </c>
      <c r="L179" s="4" cm="1">
        <f t="array" ref="L179">_xll.BDP($A179,"UD_MOMENTUM_PERCENTILE")</f>
        <v>35.97</v>
      </c>
      <c r="M179" s="4" cm="1">
        <f t="array" ref="M179">_xll.BDP($A179,"UD_MOMENTUM_RANK")</f>
        <v>23</v>
      </c>
      <c r="N179" s="4" cm="1">
        <f t="array" ref="N179">_xll.BDP($A179,"UD_RISK_PERCENTILE")</f>
        <v>55.19</v>
      </c>
    </row>
    <row r="180" spans="1:14" x14ac:dyDescent="0.25">
      <c r="A180" t="str">
        <v>MC FP Equity</v>
      </c>
      <c r="B180">
        <v>1.4311547750410001</v>
      </c>
      <c r="C180" s="3" t="str" cm="1">
        <f t="array" ref="C180">_xll.BDP(A180,"GICS_SECTOR_NAME")</f>
        <v>Consumer Discretionary</v>
      </c>
      <c r="D180" s="3" t="str" cm="1">
        <f t="array" ref="D180">_xll.BDP(A180,"GICS_INDUSTRY_NAME")</f>
        <v>Textiles, Apparel &amp; Luxury Goo</v>
      </c>
      <c r="E180" s="4" cm="1">
        <f t="array" ref="E180">_xll.BDP($A180,"UD_OVERALL_FACTOR_PERCENTILE")</f>
        <v>42.97</v>
      </c>
      <c r="F180" s="5" cm="1">
        <f t="array" ref="F180">IFERROR(_xll.BDP($A180,"UD_OPERATING_QUALITY_FP"),50)</f>
        <v>66.52</v>
      </c>
      <c r="G180" s="4" cm="1">
        <f t="array" ref="G180">_xll.BDP($A180,"UD_OPERATING_QUALITY_RANK")</f>
        <v>78</v>
      </c>
      <c r="H180" s="4" cm="1">
        <f t="array" ref="H180">_xll.BDP($A180,"UD_GROWTH_PERCENTILE")</f>
        <v>44.96</v>
      </c>
      <c r="I180" s="6" cm="1">
        <f t="array" ref="I180">_xll.BDP($A180,"UD_GROWTH_RANK")</f>
        <v>38</v>
      </c>
      <c r="J180" s="4" cm="1">
        <f t="array" ref="J180">_xll.BDP($A180,"UD_VALUATION_PERCENTILE")</f>
        <v>38.03</v>
      </c>
      <c r="K180" s="4" cm="1">
        <f t="array" ref="K180">_xll.BDP($A180,"UD_VALUATION_RANK")</f>
        <v>34</v>
      </c>
      <c r="L180" s="4" cm="1">
        <f t="array" ref="L180">_xll.BDP($A180,"UD_MOMENTUM_PERCENTILE")</f>
        <v>24.49</v>
      </c>
      <c r="M180" s="4" cm="1">
        <f t="array" ref="M180">_xll.BDP($A180,"UD_MOMENTUM_RANK")</f>
        <v>9</v>
      </c>
      <c r="N180" s="4" cm="1">
        <f t="array" ref="N180">_xll.BDP($A180,"UD_RISK_PERCENTILE")</f>
        <v>47.91</v>
      </c>
    </row>
    <row r="181" spans="1:14" x14ac:dyDescent="0.25">
      <c r="A181" t="str">
        <v>METSO FH Equity</v>
      </c>
      <c r="B181">
        <v>2.6269764163999999E-2</v>
      </c>
      <c r="C181" s="3" t="str" cm="1">
        <f t="array" ref="C181">_xll.BDP(A181,"GICS_SECTOR_NAME")</f>
        <v>Industrials</v>
      </c>
      <c r="D181" s="3" t="str" cm="1">
        <f t="array" ref="D181">_xll.BDP(A181,"GICS_INDUSTRY_NAME")</f>
        <v>Machinery</v>
      </c>
      <c r="E181" s="4" cm="1">
        <f t="array" ref="E181">_xll.BDP($A181,"UD_OVERALL_FACTOR_PERCENTILE")</f>
        <v>51.16</v>
      </c>
      <c r="F181" s="5" cm="1">
        <f t="array" ref="F181">IFERROR(_xll.BDP($A181,"UD_OPERATING_QUALITY_FP"),50)</f>
        <v>70.209999999999994</v>
      </c>
      <c r="G181" s="4" cm="1">
        <f t="array" ref="G181">_xll.BDP($A181,"UD_OPERATING_QUALITY_RANK")</f>
        <v>72</v>
      </c>
      <c r="H181" s="4" cm="1">
        <f t="array" ref="H181">_xll.BDP($A181,"UD_GROWTH_PERCENTILE")</f>
        <v>59.76</v>
      </c>
      <c r="I181" s="6" cm="1">
        <f t="array" ref="I181">_xll.BDP($A181,"UD_GROWTH_RANK")</f>
        <v>73</v>
      </c>
      <c r="J181" s="4" cm="1">
        <f t="array" ref="J181">_xll.BDP($A181,"UD_VALUATION_PERCENTILE")</f>
        <v>54.73</v>
      </c>
      <c r="K181" s="4" cm="1">
        <f t="array" ref="K181">_xll.BDP($A181,"UD_VALUATION_RANK")</f>
        <v>64</v>
      </c>
      <c r="L181" s="4" cm="1">
        <f t="array" ref="L181">_xll.BDP($A181,"UD_MOMENTUM_PERCENTILE")</f>
        <v>28.43</v>
      </c>
      <c r="M181" s="4" cm="1">
        <f t="array" ref="M181">_xll.BDP($A181,"UD_MOMENTUM_RANK")</f>
        <v>11</v>
      </c>
      <c r="N181" s="4" cm="1">
        <f t="array" ref="N181">_xll.BDP($A181,"UD_RISK_PERCENTILE")</f>
        <v>46.32</v>
      </c>
    </row>
    <row r="182" spans="1:14" x14ac:dyDescent="0.25">
      <c r="A182" t="str">
        <v>MKS LN Equity</v>
      </c>
      <c r="B182">
        <v>0.12214294151000001</v>
      </c>
      <c r="C182" s="3" t="str" cm="1">
        <f t="array" ref="C182">_xll.BDP(A182,"GICS_SECTOR_NAME")</f>
        <v>Consumer Staples</v>
      </c>
      <c r="D182" s="3" t="str" cm="1">
        <f t="array" ref="D182">_xll.BDP(A182,"GICS_INDUSTRY_NAME")</f>
        <v>Consumer Staples Distribution</v>
      </c>
      <c r="E182" s="4" cm="1">
        <f t="array" ref="E182">_xll.BDP($A182,"UD_OVERALL_FACTOR_PERCENTILE")</f>
        <v>46.24</v>
      </c>
      <c r="F182" s="5" cm="1">
        <f t="array" ref="F182">IFERROR(_xll.BDP($A182,"UD_OPERATING_QUALITY_FP"),50)</f>
        <v>32.659999999999997</v>
      </c>
      <c r="G182" s="4" cm="1">
        <f t="array" ref="G182">_xll.BDP($A182,"UD_OPERATING_QUALITY_RANK")</f>
        <v>6</v>
      </c>
      <c r="H182" s="4" cm="1">
        <f t="array" ref="H182">_xll.BDP($A182,"UD_GROWTH_PERCENTILE")</f>
        <v>26.94</v>
      </c>
      <c r="I182" s="6" cm="1">
        <f t="array" ref="I182">_xll.BDP($A182,"UD_GROWTH_RANK")</f>
        <v>6</v>
      </c>
      <c r="J182" s="4" cm="1">
        <f t="array" ref="J182">_xll.BDP($A182,"UD_VALUATION_PERCENTILE")</f>
        <v>59.14</v>
      </c>
      <c r="K182" s="4" cm="1">
        <f t="array" ref="K182">_xll.BDP($A182,"UD_VALUATION_RANK")</f>
        <v>74</v>
      </c>
      <c r="L182" s="4" cm="1">
        <f t="array" ref="L182">_xll.BDP($A182,"UD_MOMENTUM_PERCENTILE")</f>
        <v>46.54</v>
      </c>
      <c r="M182" s="4" cm="1">
        <f t="array" ref="M182">_xll.BDP($A182,"UD_MOMENTUM_RANK")</f>
        <v>40</v>
      </c>
      <c r="N182" s="4" cm="1">
        <f t="array" ref="N182">_xll.BDP($A182,"UD_RISK_PERCENTILE")</f>
        <v>30.39</v>
      </c>
    </row>
    <row r="183" spans="1:14" x14ac:dyDescent="0.25">
      <c r="A183" t="str">
        <v>ML FP Equity</v>
      </c>
      <c r="B183">
        <v>0.32651153096699997</v>
      </c>
      <c r="C183" s="3" t="str" cm="1">
        <f t="array" ref="C183">_xll.BDP(A183,"GICS_SECTOR_NAME")</f>
        <v>Consumer Discretionary</v>
      </c>
      <c r="D183" s="3" t="str" cm="1">
        <f t="array" ref="D183">_xll.BDP(A183,"GICS_INDUSTRY_NAME")</f>
        <v>Automobile Components</v>
      </c>
      <c r="E183" s="4" cm="1">
        <f t="array" ref="E183">_xll.BDP($A183,"UD_OVERALL_FACTOR_PERCENTILE")</f>
        <v>55.83</v>
      </c>
      <c r="F183" s="5" cm="1">
        <f t="array" ref="F183">IFERROR(_xll.BDP($A183,"UD_OPERATING_QUALITY_FP"),50)</f>
        <v>56.08</v>
      </c>
      <c r="G183" s="4" cm="1">
        <f t="array" ref="G183">_xll.BDP($A183,"UD_OPERATING_QUALITY_RANK")</f>
        <v>54</v>
      </c>
      <c r="H183" s="4" cm="1">
        <f t="array" ref="H183">_xll.BDP($A183,"UD_GROWTH_PERCENTILE")</f>
        <v>41.47</v>
      </c>
      <c r="I183" s="6" cm="1">
        <f t="array" ref="I183">_xll.BDP($A183,"UD_GROWTH_RANK")</f>
        <v>31</v>
      </c>
      <c r="J183" s="4" cm="1">
        <f t="array" ref="J183">_xll.BDP($A183,"UD_VALUATION_PERCENTILE")</f>
        <v>72.87</v>
      </c>
      <c r="K183" s="4" cm="1">
        <f t="array" ref="K183">_xll.BDP($A183,"UD_VALUATION_RANK")</f>
        <v>91</v>
      </c>
      <c r="L183" s="4" cm="1">
        <f t="array" ref="L183">_xll.BDP($A183,"UD_MOMENTUM_PERCENTILE")</f>
        <v>38.020000000000003</v>
      </c>
      <c r="M183" s="4" cm="1">
        <f t="array" ref="M183">_xll.BDP($A183,"UD_MOMENTUM_RANK")</f>
        <v>30</v>
      </c>
      <c r="N183" s="4" cm="1">
        <f t="array" ref="N183">_xll.BDP($A183,"UD_RISK_PERCENTILE")</f>
        <v>76.55</v>
      </c>
    </row>
    <row r="184" spans="1:14" x14ac:dyDescent="0.25">
      <c r="A184" t="str">
        <v>MNDI LN Equity</v>
      </c>
      <c r="B184">
        <v>8.8623757861000005E-2</v>
      </c>
      <c r="C184" s="3" t="str" cm="1">
        <f t="array" ref="C184">_xll.BDP(A184,"GICS_SECTOR_NAME")</f>
        <v>Materials</v>
      </c>
      <c r="D184" s="3" t="str" cm="1">
        <f t="array" ref="D184">_xll.BDP(A184,"GICS_INDUSTRY_NAME")</f>
        <v>Paper &amp; Forest Products</v>
      </c>
      <c r="E184" s="4" cm="1">
        <f t="array" ref="E184">_xll.BDP($A184,"UD_OVERALL_FACTOR_PERCENTILE")</f>
        <v>51.46</v>
      </c>
      <c r="F184" s="5" cm="1">
        <f t="array" ref="F184">IFERROR(_xll.BDP($A184,"UD_OPERATING_QUALITY_FP"),50)</f>
        <v>44.51</v>
      </c>
      <c r="G184" s="4" cm="1">
        <f t="array" ref="G184">_xll.BDP($A184,"UD_OPERATING_QUALITY_RANK")</f>
        <v>38</v>
      </c>
      <c r="H184" s="4" cm="1">
        <f t="array" ref="H184">_xll.BDP($A184,"UD_GROWTH_PERCENTILE")</f>
        <v>27.92</v>
      </c>
      <c r="I184" s="6" cm="1">
        <f t="array" ref="I184">_xll.BDP($A184,"UD_GROWTH_RANK")</f>
        <v>7</v>
      </c>
      <c r="J184" s="4" cm="1">
        <f t="array" ref="J184">_xll.BDP($A184,"UD_VALUATION_PERCENTILE")</f>
        <v>71.66</v>
      </c>
      <c r="K184" s="4" cm="1">
        <f t="array" ref="K184">_xll.BDP($A184,"UD_VALUATION_RANK")</f>
        <v>85</v>
      </c>
      <c r="L184" s="4" cm="1">
        <f t="array" ref="L184">_xll.BDP($A184,"UD_MOMENTUM_PERCENTILE")</f>
        <v>37.619999999999997</v>
      </c>
      <c r="M184" s="4" cm="1">
        <f t="array" ref="M184">_xll.BDP($A184,"UD_MOMENTUM_RANK")</f>
        <v>20</v>
      </c>
      <c r="N184" s="4" cm="1">
        <f t="array" ref="N184">_xll.BDP($A184,"UD_RISK_PERCENTILE")</f>
        <v>46.37</v>
      </c>
    </row>
    <row r="185" spans="1:14" x14ac:dyDescent="0.25">
      <c r="A185" t="str">
        <v>MNG LN Equity</v>
      </c>
      <c r="B185">
        <v>2.1306912632000002E-2</v>
      </c>
      <c r="C185" s="3" t="str" cm="1">
        <f t="array" ref="C185">_xll.BDP(A185,"GICS_SECTOR_NAME")</f>
        <v>Financials</v>
      </c>
      <c r="D185" s="3" t="str" cm="1">
        <f t="array" ref="D185">_xll.BDP(A185,"GICS_INDUSTRY_NAME")</f>
        <v>Financial Services</v>
      </c>
      <c r="E185" s="4" cm="1">
        <f t="array" ref="E185">_xll.BDP($A185,"UD_OVERALL_FACTOR_PERCENTILE")</f>
        <v>56.88</v>
      </c>
      <c r="F185" s="5" cm="1">
        <f t="array" ref="F185">IFERROR(_xll.BDP($A185,"UD_OPERATING_QUALITY_FP"),50)</f>
        <v>43.85</v>
      </c>
      <c r="G185" s="4" cm="1">
        <f t="array" ref="G185">_xll.BDP($A185,"UD_OPERATING_QUALITY_RANK")</f>
        <v>22</v>
      </c>
      <c r="H185" s="4" cm="1">
        <f t="array" ref="H185">_xll.BDP($A185,"UD_GROWTH_PERCENTILE")</f>
        <v>62.83</v>
      </c>
      <c r="I185" s="6" cm="1">
        <f t="array" ref="I185">_xll.BDP($A185,"UD_GROWTH_RANK")</f>
        <v>79</v>
      </c>
      <c r="J185" s="4" cm="1">
        <f t="array" ref="J185">_xll.BDP($A185,"UD_VALUATION_PERCENTILE")</f>
        <v>80.430000000000007</v>
      </c>
      <c r="K185" s="4" cm="1">
        <f t="array" ref="K185">_xll.BDP($A185,"UD_VALUATION_RANK")</f>
        <v>96</v>
      </c>
      <c r="L185" s="4" cm="1">
        <f t="array" ref="L185">_xll.BDP($A185,"UD_MOMENTUM_PERCENTILE")</f>
        <v>45.65</v>
      </c>
      <c r="M185" s="4" cm="1">
        <f t="array" ref="M185">_xll.BDP($A185,"UD_MOMENTUM_RANK")</f>
        <v>22</v>
      </c>
      <c r="N185" s="4" cm="1">
        <f t="array" ref="N185">_xll.BDP($A185,"UD_RISK_PERCENTILE")</f>
        <v>57.64</v>
      </c>
    </row>
    <row r="186" spans="1:14" x14ac:dyDescent="0.25">
      <c r="A186" t="str">
        <v>MONC IM Equity</v>
      </c>
      <c r="B186">
        <v>6.5129589687E-2</v>
      </c>
      <c r="C186" s="3" t="str" cm="1">
        <f t="array" ref="C186">_xll.BDP(A186,"GICS_SECTOR_NAME")</f>
        <v>Consumer Discretionary</v>
      </c>
      <c r="D186" s="3" t="str" cm="1">
        <f t="array" ref="D186">_xll.BDP(A186,"GICS_INDUSTRY_NAME")</f>
        <v>Textiles, Apparel &amp; Luxury Goo</v>
      </c>
      <c r="E186" s="4" cm="1">
        <f t="array" ref="E186">_xll.BDP($A186,"UD_OVERALL_FACTOR_PERCENTILE")</f>
        <v>47.62</v>
      </c>
      <c r="F186" s="5" cm="1">
        <f t="array" ref="F186">IFERROR(_xll.BDP($A186,"UD_OPERATING_QUALITY_FP"),50)</f>
        <v>76.88</v>
      </c>
      <c r="G186" s="4" cm="1">
        <f t="array" ref="G186">_xll.BDP($A186,"UD_OPERATING_QUALITY_RANK")</f>
        <v>91</v>
      </c>
      <c r="H186" s="4" cm="1">
        <f t="array" ref="H186">_xll.BDP($A186,"UD_GROWTH_PERCENTILE")</f>
        <v>54.81</v>
      </c>
      <c r="I186" s="6" cm="1">
        <f t="array" ref="I186">_xll.BDP($A186,"UD_GROWTH_RANK")</f>
        <v>61</v>
      </c>
      <c r="J186" s="4" cm="1">
        <f t="array" ref="J186">_xll.BDP($A186,"UD_VALUATION_PERCENTILE")</f>
        <v>34.07</v>
      </c>
      <c r="K186" s="4" cm="1">
        <f t="array" ref="K186">_xll.BDP($A186,"UD_VALUATION_RANK")</f>
        <v>27</v>
      </c>
      <c r="L186" s="4" cm="1">
        <f t="array" ref="L186">_xll.BDP($A186,"UD_MOMENTUM_PERCENTILE")</f>
        <v>32.299999999999997</v>
      </c>
      <c r="M186" s="4" cm="1">
        <f t="array" ref="M186">_xll.BDP($A186,"UD_MOMENTUM_RANK")</f>
        <v>17</v>
      </c>
      <c r="N186" s="4" cm="1">
        <f t="array" ref="N186">_xll.BDP($A186,"UD_RISK_PERCENTILE")</f>
        <v>48.4</v>
      </c>
    </row>
    <row r="187" spans="1:14" x14ac:dyDescent="0.25">
      <c r="A187" t="str">
        <v>MOWI NO Equity</v>
      </c>
      <c r="B187">
        <v>0.169983704613</v>
      </c>
      <c r="C187" s="3" t="str" cm="1">
        <f t="array" ref="C187">_xll.BDP(A187,"GICS_SECTOR_NAME")</f>
        <v>Consumer Staples</v>
      </c>
      <c r="D187" s="3" t="str" cm="1">
        <f t="array" ref="D187">_xll.BDP(A187,"GICS_INDUSTRY_NAME")</f>
        <v>Food Products</v>
      </c>
      <c r="E187" s="4" cm="1">
        <f t="array" ref="E187">_xll.BDP($A187,"UD_OVERALL_FACTOR_PERCENTILE")</f>
        <v>50.48</v>
      </c>
      <c r="F187" s="5" cm="1">
        <f t="array" ref="F187">IFERROR(_xll.BDP($A187,"UD_OPERATING_QUALITY_FP"),50)</f>
        <v>44.35</v>
      </c>
      <c r="G187" s="4" cm="1">
        <f t="array" ref="G187">_xll.BDP($A187,"UD_OPERATING_QUALITY_RANK")</f>
        <v>23</v>
      </c>
      <c r="H187" s="4" cm="1">
        <f t="array" ref="H187">_xll.BDP($A187,"UD_GROWTH_PERCENTILE")</f>
        <v>55.47</v>
      </c>
      <c r="I187" s="6" cm="1">
        <f t="array" ref="I187">_xll.BDP($A187,"UD_GROWTH_RANK")</f>
        <v>63</v>
      </c>
      <c r="J187" s="4" cm="1">
        <f t="array" ref="J187">_xll.BDP($A187,"UD_VALUATION_PERCENTILE")</f>
        <v>54.68</v>
      </c>
      <c r="K187" s="4" cm="1">
        <f t="array" ref="K187">_xll.BDP($A187,"UD_VALUATION_RANK")</f>
        <v>60</v>
      </c>
      <c r="L187" s="4" cm="1">
        <f t="array" ref="L187">_xll.BDP($A187,"UD_MOMENTUM_PERCENTILE")</f>
        <v>52.27</v>
      </c>
      <c r="M187" s="4" cm="1">
        <f t="array" ref="M187">_xll.BDP($A187,"UD_MOMENTUM_RANK")</f>
        <v>60</v>
      </c>
      <c r="N187" s="4" cm="1">
        <f t="array" ref="N187">_xll.BDP($A187,"UD_RISK_PERCENTILE")</f>
        <v>62.53</v>
      </c>
    </row>
    <row r="188" spans="1:14" x14ac:dyDescent="0.25">
      <c r="A188" t="str">
        <v>MRK GY Equity</v>
      </c>
      <c r="B188">
        <v>0.15607080862600001</v>
      </c>
      <c r="C188" s="3" t="str" cm="1">
        <f t="array" ref="C188">_xll.BDP(A188,"GICS_SECTOR_NAME")</f>
        <v>Health Care</v>
      </c>
      <c r="D188" s="3" t="str" cm="1">
        <f t="array" ref="D188">_xll.BDP(A188,"GICS_INDUSTRY_NAME")</f>
        <v>Pharmaceuticals</v>
      </c>
      <c r="E188" s="4" cm="1">
        <f t="array" ref="E188">_xll.BDP($A188,"UD_OVERALL_FACTOR_PERCENTILE")</f>
        <v>53.86</v>
      </c>
      <c r="F188" s="5" cm="1">
        <f t="array" ref="F188">IFERROR(_xll.BDP($A188,"UD_OPERATING_QUALITY_FP"),50)</f>
        <v>55.6</v>
      </c>
      <c r="G188" s="4" cm="1">
        <f t="array" ref="G188">_xll.BDP($A188,"UD_OPERATING_QUALITY_RANK")</f>
        <v>55</v>
      </c>
      <c r="H188" s="4" cm="1">
        <f t="array" ref="H188">_xll.BDP($A188,"UD_GROWTH_PERCENTILE")</f>
        <v>43.26</v>
      </c>
      <c r="I188" s="6" cm="1">
        <f t="array" ref="I188">_xll.BDP($A188,"UD_GROWTH_RANK")</f>
        <v>34</v>
      </c>
      <c r="J188" s="4" cm="1">
        <f t="array" ref="J188">_xll.BDP($A188,"UD_VALUATION_PERCENTILE")</f>
        <v>69.900000000000006</v>
      </c>
      <c r="K188" s="4" cm="1">
        <f t="array" ref="K188">_xll.BDP($A188,"UD_VALUATION_RANK")</f>
        <v>87</v>
      </c>
      <c r="L188" s="4" cm="1">
        <f t="array" ref="L188">_xll.BDP($A188,"UD_MOMENTUM_PERCENTILE")</f>
        <v>35.6</v>
      </c>
      <c r="M188" s="4" cm="1">
        <f t="array" ref="M188">_xll.BDP($A188,"UD_MOMENTUM_RANK")</f>
        <v>19</v>
      </c>
      <c r="N188" s="4" cm="1">
        <f t="array" ref="N188">_xll.BDP($A188,"UD_RISK_PERCENTILE")</f>
        <v>76.599999999999994</v>
      </c>
    </row>
    <row r="189" spans="1:14" x14ac:dyDescent="0.25">
      <c r="A189" t="str">
        <v>MT NA Equity</v>
      </c>
      <c r="B189">
        <v>0.40901416138899999</v>
      </c>
      <c r="C189" s="3" t="str" cm="1">
        <f t="array" ref="C189">_xll.BDP(A189,"GICS_SECTOR_NAME")</f>
        <v>Materials</v>
      </c>
      <c r="D189" s="3" t="str" cm="1">
        <f t="array" ref="D189">_xll.BDP(A189,"GICS_INDUSTRY_NAME")</f>
        <v>Metals &amp; Mining</v>
      </c>
      <c r="E189" s="4" cm="1">
        <f t="array" ref="E189">_xll.BDP($A189,"UD_OVERALL_FACTOR_PERCENTILE")</f>
        <v>58.17</v>
      </c>
      <c r="F189" s="5" cm="1">
        <f t="array" ref="F189">IFERROR(_xll.BDP($A189,"UD_OPERATING_QUALITY_FP"),50)</f>
        <v>24.57</v>
      </c>
      <c r="G189" s="4" cm="1">
        <f t="array" ref="G189">_xll.BDP($A189,"UD_OPERATING_QUALITY_RANK")</f>
        <v>14</v>
      </c>
      <c r="H189" s="4" cm="1">
        <f t="array" ref="H189">_xll.BDP($A189,"UD_GROWTH_PERCENTILE")</f>
        <v>19.73</v>
      </c>
      <c r="I189" s="6" cm="1">
        <f t="array" ref="I189">_xll.BDP($A189,"UD_GROWTH_RANK")</f>
        <v>2</v>
      </c>
      <c r="J189" s="4" cm="1">
        <f t="array" ref="J189">_xll.BDP($A189,"UD_VALUATION_PERCENTILE")</f>
        <v>67.209999999999994</v>
      </c>
      <c r="K189" s="4" cm="1">
        <f t="array" ref="K189">_xll.BDP($A189,"UD_VALUATION_RANK")</f>
        <v>81</v>
      </c>
      <c r="L189" s="4" cm="1">
        <f t="array" ref="L189">_xll.BDP($A189,"UD_MOMENTUM_PERCENTILE")</f>
        <v>82.45</v>
      </c>
      <c r="M189" s="4" cm="1">
        <f t="array" ref="M189">_xll.BDP($A189,"UD_MOMENTUM_RANK")</f>
        <v>99</v>
      </c>
      <c r="N189" s="4" cm="1">
        <f t="array" ref="N189">_xll.BDP($A189,"UD_RISK_PERCENTILE")</f>
        <v>26.66</v>
      </c>
    </row>
    <row r="190" spans="1:14" x14ac:dyDescent="0.25">
      <c r="A190" t="str">
        <v>MUV2 GY Equity</v>
      </c>
      <c r="B190">
        <v>0.78669568414400004</v>
      </c>
      <c r="C190" s="3" t="str" cm="1">
        <f t="array" ref="C190">_xll.BDP(A190,"GICS_SECTOR_NAME")</f>
        <v>Financials</v>
      </c>
      <c r="D190" s="3" t="str" cm="1">
        <f t="array" ref="D190">_xll.BDP(A190,"GICS_INDUSTRY_NAME")</f>
        <v>Insurance</v>
      </c>
      <c r="E190" s="4" cm="1">
        <f t="array" ref="E190">_xll.BDP($A190,"UD_OVERALL_FACTOR_PERCENTILE")</f>
        <v>47.9</v>
      </c>
      <c r="F190" s="5" cm="1">
        <f t="array" ref="F190">IFERROR(_xll.BDP($A190,"UD_OPERATING_QUALITY_FP"),50)</f>
        <v>50.08</v>
      </c>
      <c r="G190" s="4" cm="1">
        <f t="array" ref="G190">_xll.BDP($A190,"UD_OPERATING_QUALITY_RANK")</f>
        <v>39</v>
      </c>
      <c r="H190" s="4" cm="1">
        <f t="array" ref="H190">_xll.BDP($A190,"UD_GROWTH_PERCENTILE")</f>
        <v>63.65</v>
      </c>
      <c r="I190" s="6" cm="1">
        <f t="array" ref="I190">_xll.BDP($A190,"UD_GROWTH_RANK")</f>
        <v>79</v>
      </c>
      <c r="J190" s="4" cm="1">
        <f t="array" ref="J190">_xll.BDP($A190,"UD_VALUATION_PERCENTILE")</f>
        <v>46.98</v>
      </c>
      <c r="K190" s="4" cm="1">
        <f t="array" ref="K190">_xll.BDP($A190,"UD_VALUATION_RANK")</f>
        <v>48</v>
      </c>
      <c r="L190" s="4" cm="1">
        <f t="array" ref="L190">_xll.BDP($A190,"UD_MOMENTUM_PERCENTILE")</f>
        <v>46.65</v>
      </c>
      <c r="M190" s="4" cm="1">
        <f t="array" ref="M190">_xll.BDP($A190,"UD_MOMENTUM_RANK")</f>
        <v>26</v>
      </c>
      <c r="N190" s="4" cm="1">
        <f t="array" ref="N190">_xll.BDP($A190,"UD_RISK_PERCENTILE")</f>
        <v>74.47</v>
      </c>
    </row>
    <row r="191" spans="1:14" x14ac:dyDescent="0.25">
      <c r="A191" t="str">
        <v>NDA FH Equity</v>
      </c>
      <c r="B191">
        <v>0.31253899700999999</v>
      </c>
      <c r="C191" s="3" t="str" cm="1">
        <f t="array" ref="C191">_xll.BDP(A191,"GICS_SECTOR_NAME")</f>
        <v>Financials</v>
      </c>
      <c r="D191" s="3" t="str" cm="1">
        <f t="array" ref="D191">_xll.BDP(A191,"GICS_INDUSTRY_NAME")</f>
        <v>Banks</v>
      </c>
      <c r="E191" s="4" t="str" cm="1">
        <f t="array" ref="E191">_xll.BDP($A191,"UD_OVERALL_FACTOR_PERCENTILE")</f>
        <v>#N/A Field Not Applicable</v>
      </c>
      <c r="F191" s="5" t="str" cm="1">
        <f t="array" ref="F191">IFERROR(_xll.BDP($A191,"UD_OPERATING_QUALITY_FP"),50)</f>
        <v>#N/A Field Not Applicable</v>
      </c>
      <c r="G191" s="4" t="str" cm="1">
        <f t="array" ref="G191">_xll.BDP($A191,"UD_OPERATING_QUALITY_RANK")</f>
        <v>#N/A Field Not Applicable</v>
      </c>
      <c r="H191" s="4" t="str" cm="1">
        <f t="array" ref="H191">_xll.BDP($A191,"UD_GROWTH_PERCENTILE")</f>
        <v>#N/A Field Not Applicable</v>
      </c>
      <c r="I191" s="6" t="str" cm="1">
        <f t="array" ref="I191">_xll.BDP($A191,"UD_GROWTH_RANK")</f>
        <v>#N/A Field Not Applicable</v>
      </c>
      <c r="J191" s="4" t="str" cm="1">
        <f t="array" ref="J191">_xll.BDP($A191,"UD_VALUATION_PERCENTILE")</f>
        <v>#N/A Field Not Applicable</v>
      </c>
      <c r="K191" s="4" t="str" cm="1">
        <f t="array" ref="K191">_xll.BDP($A191,"UD_VALUATION_RANK")</f>
        <v>#N/A Field Not Applicable</v>
      </c>
      <c r="L191" s="4" t="str" cm="1">
        <f t="array" ref="L191">_xll.BDP($A191,"UD_MOMENTUM_PERCENTILE")</f>
        <v>#N/A Field Not Applicable</v>
      </c>
      <c r="M191" s="4" t="str" cm="1">
        <f t="array" ref="M191">_xll.BDP($A191,"UD_MOMENTUM_RANK")</f>
        <v>#N/A Field Not Applicable</v>
      </c>
      <c r="N191" s="4" t="str" cm="1">
        <f t="array" ref="N191">_xll.BDP($A191,"UD_RISK_PERCENTILE")</f>
        <v>#N/A Field Not Applicable</v>
      </c>
    </row>
    <row r="192" spans="1:14" x14ac:dyDescent="0.25">
      <c r="A192" t="str">
        <v>NESN SW Equity</v>
      </c>
      <c r="B192">
        <v>1.790050017312</v>
      </c>
      <c r="C192" s="3" t="str" cm="1">
        <f t="array" ref="C192">_xll.BDP(A192,"GICS_SECTOR_NAME")</f>
        <v>Consumer Staples</v>
      </c>
      <c r="D192" s="3" t="str" cm="1">
        <f t="array" ref="D192">_xll.BDP(A192,"GICS_INDUSTRY_NAME")</f>
        <v>Food Products</v>
      </c>
      <c r="E192" s="4" cm="1">
        <f t="array" ref="E192">_xll.BDP($A192,"UD_OVERALL_FACTOR_PERCENTILE")</f>
        <v>50.92</v>
      </c>
      <c r="F192" s="5" cm="1">
        <f t="array" ref="F192">IFERROR(_xll.BDP($A192,"UD_OPERATING_QUALITY_FP"),50)</f>
        <v>77.790000000000006</v>
      </c>
      <c r="G192" s="4" cm="1">
        <f t="array" ref="G192">_xll.BDP($A192,"UD_OPERATING_QUALITY_RANK")</f>
        <v>91</v>
      </c>
      <c r="H192" s="4" cm="1">
        <f t="array" ref="H192">_xll.BDP($A192,"UD_GROWTH_PERCENTILE")</f>
        <v>36.26</v>
      </c>
      <c r="I192" s="6" cm="1">
        <f t="array" ref="I192">_xll.BDP($A192,"UD_GROWTH_RANK")</f>
        <v>19</v>
      </c>
      <c r="J192" s="4" cm="1">
        <f t="array" ref="J192">_xll.BDP($A192,"UD_VALUATION_PERCENTILE")</f>
        <v>35.880000000000003</v>
      </c>
      <c r="K192" s="4" cm="1">
        <f t="array" ref="K192">_xll.BDP($A192,"UD_VALUATION_RANK")</f>
        <v>25</v>
      </c>
      <c r="L192" s="4" cm="1">
        <f t="array" ref="L192">_xll.BDP($A192,"UD_MOMENTUM_PERCENTILE")</f>
        <v>39.549999999999997</v>
      </c>
      <c r="M192" s="4" cm="1">
        <f t="array" ref="M192">_xll.BDP($A192,"UD_MOMENTUM_RANK")</f>
        <v>20</v>
      </c>
      <c r="N192" s="4" cm="1">
        <f t="array" ref="N192">_xll.BDP($A192,"UD_RISK_PERCENTILE")</f>
        <v>80.569999999999993</v>
      </c>
    </row>
    <row r="193" spans="1:14" x14ac:dyDescent="0.25">
      <c r="A193" t="str">
        <v>NG/ LN Equity</v>
      </c>
      <c r="B193">
        <v>0.60423265321499997</v>
      </c>
      <c r="C193" s="3" t="str" cm="1">
        <f t="array" ref="C193">_xll.BDP(A193,"GICS_SECTOR_NAME")</f>
        <v>Utilities</v>
      </c>
      <c r="D193" s="3" t="str" cm="1">
        <f t="array" ref="D193">_xll.BDP(A193,"GICS_INDUSTRY_NAME")</f>
        <v>Multi-Utilities</v>
      </c>
      <c r="E193" s="4" cm="1">
        <f t="array" ref="E193">_xll.BDP($A193,"UD_OVERALL_FACTOR_PERCENTILE")</f>
        <v>56.67</v>
      </c>
      <c r="F193" s="5" cm="1">
        <f t="array" ref="F193">IFERROR(_xll.BDP($A193,"UD_OPERATING_QUALITY_FP"),50)</f>
        <v>63.44</v>
      </c>
      <c r="G193" s="4" cm="1">
        <f t="array" ref="G193">_xll.BDP($A193,"UD_OPERATING_QUALITY_RANK")</f>
        <v>90</v>
      </c>
      <c r="H193" s="4" cm="1">
        <f t="array" ref="H193">_xll.BDP($A193,"UD_GROWTH_PERCENTILE")</f>
        <v>37.979999999999997</v>
      </c>
      <c r="I193" s="6" cm="1">
        <f t="array" ref="I193">_xll.BDP($A193,"UD_GROWTH_RANK")</f>
        <v>23</v>
      </c>
      <c r="J193" s="4" cm="1">
        <f t="array" ref="J193">_xll.BDP($A193,"UD_VALUATION_PERCENTILE")</f>
        <v>56.69</v>
      </c>
      <c r="K193" s="4" cm="1">
        <f t="array" ref="K193">_xll.BDP($A193,"UD_VALUATION_RANK")</f>
        <v>68</v>
      </c>
      <c r="L193" s="4" cm="1">
        <f t="array" ref="L193">_xll.BDP($A193,"UD_MOMENTUM_PERCENTILE")</f>
        <v>49.87</v>
      </c>
      <c r="M193" s="4" cm="1">
        <f t="array" ref="M193">_xll.BDP($A193,"UD_MOMENTUM_RANK")</f>
        <v>32</v>
      </c>
      <c r="N193" s="4" cm="1">
        <f t="array" ref="N193">_xll.BDP($A193,"UD_RISK_PERCENTILE")</f>
        <v>89.7</v>
      </c>
    </row>
    <row r="194" spans="1:14" x14ac:dyDescent="0.25">
      <c r="A194" t="str">
        <v>NHY NO Equity</v>
      </c>
      <c r="B194">
        <v>0.32548069180200001</v>
      </c>
      <c r="C194" s="3" t="str" cm="1">
        <f t="array" ref="C194">_xll.BDP(A194,"GICS_SECTOR_NAME")</f>
        <v>Materials</v>
      </c>
      <c r="D194" s="3" t="str" cm="1">
        <f t="array" ref="D194">_xll.BDP(A194,"GICS_INDUSTRY_NAME")</f>
        <v>Metals &amp; Mining</v>
      </c>
      <c r="E194" s="4" cm="1">
        <f t="array" ref="E194">_xll.BDP($A194,"UD_OVERALL_FACTOR_PERCENTILE")</f>
        <v>52.98</v>
      </c>
      <c r="F194" s="5" cm="1">
        <f t="array" ref="F194">IFERROR(_xll.BDP($A194,"UD_OPERATING_QUALITY_FP"),50)</f>
        <v>29.3</v>
      </c>
      <c r="G194" s="4" cm="1">
        <f t="array" ref="G194">_xll.BDP($A194,"UD_OPERATING_QUALITY_RANK")</f>
        <v>19</v>
      </c>
      <c r="H194" s="4" cm="1">
        <f t="array" ref="H194">_xll.BDP($A194,"UD_GROWTH_PERCENTILE")</f>
        <v>35.479999999999997</v>
      </c>
      <c r="I194" s="6" cm="1">
        <f t="array" ref="I194">_xll.BDP($A194,"UD_GROWTH_RANK")</f>
        <v>18</v>
      </c>
      <c r="J194" s="4" cm="1">
        <f t="array" ref="J194">_xll.BDP($A194,"UD_VALUATION_PERCENTILE")</f>
        <v>59.66</v>
      </c>
      <c r="K194" s="4" cm="1">
        <f t="array" ref="K194">_xll.BDP($A194,"UD_VALUATION_RANK")</f>
        <v>66</v>
      </c>
      <c r="L194" s="4" cm="1">
        <f t="array" ref="L194">_xll.BDP($A194,"UD_MOMENTUM_PERCENTILE")</f>
        <v>69.8</v>
      </c>
      <c r="M194" s="4" cm="1">
        <f t="array" ref="M194">_xll.BDP($A194,"UD_MOMENTUM_RANK")</f>
        <v>93</v>
      </c>
      <c r="N194" s="4" cm="1">
        <f t="array" ref="N194">_xll.BDP($A194,"UD_RISK_PERCENTILE")</f>
        <v>37.76</v>
      </c>
    </row>
    <row r="195" spans="1:14" x14ac:dyDescent="0.25">
      <c r="A195" t="str">
        <v>NIBEB SS Equity</v>
      </c>
      <c r="B195">
        <v>1.8379085504000001E-2</v>
      </c>
      <c r="C195" s="3" t="str" cm="1">
        <f t="array" ref="C195">_xll.BDP(A195,"GICS_SECTOR_NAME")</f>
        <v>Industrials</v>
      </c>
      <c r="D195" s="3" t="str" cm="1">
        <f t="array" ref="D195">_xll.BDP(A195,"GICS_INDUSTRY_NAME")</f>
        <v>Building Products</v>
      </c>
      <c r="E195" s="4" cm="1">
        <f t="array" ref="E195">_xll.BDP($A195,"UD_OVERALL_FACTOR_PERCENTILE")</f>
        <v>45.48</v>
      </c>
      <c r="F195" s="5" cm="1">
        <f t="array" ref="F195">IFERROR(_xll.BDP($A195,"UD_OPERATING_QUALITY_FP"),50)</f>
        <v>44.44</v>
      </c>
      <c r="G195" s="4" cm="1">
        <f t="array" ref="G195">_xll.BDP($A195,"UD_OPERATING_QUALITY_RANK")</f>
        <v>27</v>
      </c>
      <c r="H195" s="4" cm="1">
        <f t="array" ref="H195">_xll.BDP($A195,"UD_GROWTH_PERCENTILE")</f>
        <v>64.13</v>
      </c>
      <c r="I195" s="6" cm="1">
        <f t="array" ref="I195">_xll.BDP($A195,"UD_GROWTH_RANK")</f>
        <v>80</v>
      </c>
      <c r="J195" s="4" cm="1">
        <f t="array" ref="J195">_xll.BDP($A195,"UD_VALUATION_PERCENTILE")</f>
        <v>46.11</v>
      </c>
      <c r="K195" s="4" cm="1">
        <f t="array" ref="K195">_xll.BDP($A195,"UD_VALUATION_RANK")</f>
        <v>47</v>
      </c>
      <c r="L195" s="4" cm="1">
        <f t="array" ref="L195">_xll.BDP($A195,"UD_MOMENTUM_PERCENTILE")</f>
        <v>45.89</v>
      </c>
      <c r="M195" s="4" cm="1">
        <f t="array" ref="M195">_xll.BDP($A195,"UD_MOMENTUM_RANK")</f>
        <v>39</v>
      </c>
      <c r="N195" s="4" cm="1">
        <f t="array" ref="N195">_xll.BDP($A195,"UD_RISK_PERCENTILE")</f>
        <v>21.14</v>
      </c>
    </row>
    <row r="196" spans="1:14" x14ac:dyDescent="0.25">
      <c r="A196" t="str">
        <v>NMC LN Equity</v>
      </c>
      <c r="B196">
        <v>0</v>
      </c>
      <c r="C196" s="3" t="str" cm="1">
        <f t="array" ref="C196">_xll.BDP(A196,"GICS_SECTOR_NAME")</f>
        <v>Health Care</v>
      </c>
      <c r="D196" s="3" t="str" cm="1">
        <f t="array" ref="D196">_xll.BDP(A196,"GICS_INDUSTRY_NAME")</f>
        <v>Health Care Providers &amp; Servic</v>
      </c>
      <c r="E196" s="4" t="str" cm="1">
        <f t="array" ref="E196">_xll.BDP($A196,"UD_OVERALL_FACTOR_PERCENTILE")</f>
        <v>#N/A Field Not Applicable</v>
      </c>
      <c r="F196" s="5" t="str" cm="1">
        <f t="array" ref="F196">IFERROR(_xll.BDP($A196,"UD_OPERATING_QUALITY_FP"),50)</f>
        <v>#N/A Field Not Applicable</v>
      </c>
      <c r="G196" s="4" t="str" cm="1">
        <f t="array" ref="G196">_xll.BDP($A196,"UD_OPERATING_QUALITY_RANK")</f>
        <v>#N/A Field Not Applicable</v>
      </c>
      <c r="H196" s="4" t="str" cm="1">
        <f t="array" ref="H196">_xll.BDP($A196,"UD_GROWTH_PERCENTILE")</f>
        <v>#N/A Field Not Applicable</v>
      </c>
      <c r="I196" s="6" t="str" cm="1">
        <f t="array" ref="I196">_xll.BDP($A196,"UD_GROWTH_RANK")</f>
        <v>#N/A Field Not Applicable</v>
      </c>
      <c r="J196" s="4" t="str" cm="1">
        <f t="array" ref="J196">_xll.BDP($A196,"UD_VALUATION_PERCENTILE")</f>
        <v>#N/A Field Not Applicable</v>
      </c>
      <c r="K196" s="4" t="str" cm="1">
        <f t="array" ref="K196">_xll.BDP($A196,"UD_VALUATION_RANK")</f>
        <v>#N/A Field Not Applicable</v>
      </c>
      <c r="L196" s="4" t="str" cm="1">
        <f t="array" ref="L196">_xll.BDP($A196,"UD_MOMENTUM_PERCENTILE")</f>
        <v>#N/A Field Not Applicable</v>
      </c>
      <c r="M196" s="4" t="str" cm="1">
        <f t="array" ref="M196">_xll.BDP($A196,"UD_MOMENTUM_RANK")</f>
        <v>#N/A Field Not Applicable</v>
      </c>
      <c r="N196" s="4" t="str" cm="1">
        <f t="array" ref="N196">_xll.BDP($A196,"UD_RISK_PERCENTILE")</f>
        <v>#N/A Field Not Applicable</v>
      </c>
    </row>
    <row r="197" spans="1:14" x14ac:dyDescent="0.25">
      <c r="A197" t="str">
        <v>NN NA Equity</v>
      </c>
      <c r="B197">
        <v>0.27404836264499999</v>
      </c>
      <c r="C197" s="3" t="str" cm="1">
        <f t="array" ref="C197">_xll.BDP(A197,"GICS_SECTOR_NAME")</f>
        <v>Financials</v>
      </c>
      <c r="D197" s="3" t="str" cm="1">
        <f t="array" ref="D197">_xll.BDP(A197,"GICS_INDUSTRY_NAME")</f>
        <v>Insurance</v>
      </c>
      <c r="E197" s="4" cm="1">
        <f t="array" ref="E197">_xll.BDP($A197,"UD_OVERALL_FACTOR_PERCENTILE")</f>
        <v>61.51</v>
      </c>
      <c r="F197" s="5" cm="1">
        <f t="array" ref="F197">IFERROR(_xll.BDP($A197,"UD_OPERATING_QUALITY_FP"),50)</f>
        <v>54.58</v>
      </c>
      <c r="G197" s="4" cm="1">
        <f t="array" ref="G197">_xll.BDP($A197,"UD_OPERATING_QUALITY_RANK")</f>
        <v>44</v>
      </c>
      <c r="H197" s="4" cm="1">
        <f t="array" ref="H197">_xll.BDP($A197,"UD_GROWTH_PERCENTILE")</f>
        <v>57.98</v>
      </c>
      <c r="I197" s="6" cm="1">
        <f t="array" ref="I197">_xll.BDP($A197,"UD_GROWTH_RANK")</f>
        <v>69</v>
      </c>
      <c r="J197" s="4" cm="1">
        <f t="array" ref="J197">_xll.BDP($A197,"UD_VALUATION_PERCENTILE")</f>
        <v>71.59</v>
      </c>
      <c r="K197" s="4" cm="1">
        <f t="array" ref="K197">_xll.BDP($A197,"UD_VALUATION_RANK")</f>
        <v>78</v>
      </c>
      <c r="L197" s="4" cm="1">
        <f t="array" ref="L197">_xll.BDP($A197,"UD_MOMENTUM_PERCENTILE")</f>
        <v>58.06</v>
      </c>
      <c r="M197" s="4" cm="1">
        <f t="array" ref="M197">_xll.BDP($A197,"UD_MOMENTUM_RANK")</f>
        <v>65</v>
      </c>
      <c r="N197" s="4" cm="1">
        <f t="array" ref="N197">_xll.BDP($A197,"UD_RISK_PERCENTILE")</f>
        <v>83.92</v>
      </c>
    </row>
    <row r="198" spans="1:14" x14ac:dyDescent="0.25">
      <c r="A198" t="str">
        <v>NOKIA FH Equity</v>
      </c>
      <c r="B198">
        <v>0.22059449616099999</v>
      </c>
      <c r="C198" s="3" t="str" cm="1">
        <f t="array" ref="C198">_xll.BDP(A198,"GICS_SECTOR_NAME")</f>
        <v>Information Technology</v>
      </c>
      <c r="D198" s="3" t="str" cm="1">
        <f t="array" ref="D198">_xll.BDP(A198,"GICS_INDUSTRY_NAME")</f>
        <v>Communications Equipment</v>
      </c>
      <c r="E198" s="4" cm="1">
        <f t="array" ref="E198">_xll.BDP($A198,"UD_OVERALL_FACTOR_PERCENTILE")</f>
        <v>52.07</v>
      </c>
      <c r="F198" s="5" cm="1">
        <f t="array" ref="F198">IFERROR(_xll.BDP($A198,"UD_OPERATING_QUALITY_FP"),50)</f>
        <v>40.11</v>
      </c>
      <c r="G198" s="4" cm="1">
        <f t="array" ref="G198">_xll.BDP($A198,"UD_OPERATING_QUALITY_RANK")</f>
        <v>28</v>
      </c>
      <c r="H198" s="4" cm="1">
        <f t="array" ref="H198">_xll.BDP($A198,"UD_GROWTH_PERCENTILE")</f>
        <v>32.36</v>
      </c>
      <c r="I198" s="6" cm="1">
        <f t="array" ref="I198">_xll.BDP($A198,"UD_GROWTH_RANK")</f>
        <v>12</v>
      </c>
      <c r="J198" s="4" cm="1">
        <f t="array" ref="J198">_xll.BDP($A198,"UD_VALUATION_PERCENTILE")</f>
        <v>78.739999999999995</v>
      </c>
      <c r="K198" s="4" cm="1">
        <f t="array" ref="K198">_xll.BDP($A198,"UD_VALUATION_RANK")</f>
        <v>94</v>
      </c>
      <c r="L198" s="4" cm="1">
        <f t="array" ref="L198">_xll.BDP($A198,"UD_MOMENTUM_PERCENTILE")</f>
        <v>36.549999999999997</v>
      </c>
      <c r="M198" s="4" cm="1">
        <f t="array" ref="M198">_xll.BDP($A198,"UD_MOMENTUM_RANK")</f>
        <v>31</v>
      </c>
      <c r="N198" s="4" cm="1">
        <f t="array" ref="N198">_xll.BDP($A198,"UD_RISK_PERCENTILE")</f>
        <v>46.32</v>
      </c>
    </row>
    <row r="199" spans="1:14" x14ac:dyDescent="0.25">
      <c r="A199" t="str">
        <v>NOVN SW Equity</v>
      </c>
      <c r="B199">
        <v>2.2327802930099998</v>
      </c>
      <c r="C199" s="3" t="str" cm="1">
        <f t="array" ref="C199">_xll.BDP(A199,"GICS_SECTOR_NAME")</f>
        <v>Health Care</v>
      </c>
      <c r="D199" s="3" t="str" cm="1">
        <f t="array" ref="D199">_xll.BDP(A199,"GICS_INDUSTRY_NAME")</f>
        <v>Pharmaceuticals</v>
      </c>
      <c r="E199" s="4" cm="1">
        <f t="array" ref="E199">_xll.BDP($A199,"UD_OVERALL_FACTOR_PERCENTILE")</f>
        <v>55.78</v>
      </c>
      <c r="F199" s="5" cm="1">
        <f t="array" ref="F199">IFERROR(_xll.BDP($A199,"UD_OPERATING_QUALITY_FP"),50)</f>
        <v>57.73</v>
      </c>
      <c r="G199" s="4" cm="1">
        <f t="array" ref="G199">_xll.BDP($A199,"UD_OPERATING_QUALITY_RANK")</f>
        <v>62</v>
      </c>
      <c r="H199" s="4" cm="1">
        <f t="array" ref="H199">_xll.BDP($A199,"UD_GROWTH_PERCENTILE")</f>
        <v>32.4</v>
      </c>
      <c r="I199" s="6" cm="1">
        <f t="array" ref="I199">_xll.BDP($A199,"UD_GROWTH_RANK")</f>
        <v>12</v>
      </c>
      <c r="J199" s="4" cm="1">
        <f t="array" ref="J199">_xll.BDP($A199,"UD_VALUATION_PERCENTILE")</f>
        <v>53.15</v>
      </c>
      <c r="K199" s="4" cm="1">
        <f t="array" ref="K199">_xll.BDP($A199,"UD_VALUATION_RANK")</f>
        <v>58</v>
      </c>
      <c r="L199" s="4" cm="1">
        <f t="array" ref="L199">_xll.BDP($A199,"UD_MOMENTUM_PERCENTILE")</f>
        <v>56.54</v>
      </c>
      <c r="M199" s="4" cm="1">
        <f t="array" ref="M199">_xll.BDP($A199,"UD_MOMENTUM_RANK")</f>
        <v>73</v>
      </c>
      <c r="N199" s="4" cm="1">
        <f t="array" ref="N199">_xll.BDP($A199,"UD_RISK_PERCENTILE")</f>
        <v>80.290000000000006</v>
      </c>
    </row>
    <row r="200" spans="1:14" x14ac:dyDescent="0.25">
      <c r="A200" t="str">
        <v>NOVOB DC Equity</v>
      </c>
      <c r="B200">
        <v>1.486807065329</v>
      </c>
      <c r="C200" s="3" t="str" cm="1">
        <f t="array" ref="C200">_xll.BDP(A200,"GICS_SECTOR_NAME")</f>
        <v>Health Care</v>
      </c>
      <c r="D200" s="3" t="str" cm="1">
        <f t="array" ref="D200">_xll.BDP(A200,"GICS_INDUSTRY_NAME")</f>
        <v>Pharmaceuticals</v>
      </c>
      <c r="E200" s="4" cm="1">
        <f t="array" ref="E200">_xll.BDP($A200,"UD_OVERALL_FACTOR_PERCENTILE")</f>
        <v>56.91</v>
      </c>
      <c r="F200" s="5" cm="1">
        <f t="array" ref="F200">IFERROR(_xll.BDP($A200,"UD_OPERATING_QUALITY_FP"),50)</f>
        <v>81.73</v>
      </c>
      <c r="G200" s="4" cm="1">
        <f t="array" ref="G200">_xll.BDP($A200,"UD_OPERATING_QUALITY_RANK")</f>
        <v>99</v>
      </c>
      <c r="H200" s="4" cm="1">
        <f t="array" ref="H200">_xll.BDP($A200,"UD_GROWTH_PERCENTILE")</f>
        <v>52.36</v>
      </c>
      <c r="I200" s="6" cm="1">
        <f t="array" ref="I200">_xll.BDP($A200,"UD_GROWTH_RANK")</f>
        <v>55</v>
      </c>
      <c r="J200" s="4" cm="1">
        <f t="array" ref="J200">_xll.BDP($A200,"UD_VALUATION_PERCENTILE")</f>
        <v>73.599999999999994</v>
      </c>
      <c r="K200" s="4" cm="1">
        <f t="array" ref="K200">_xll.BDP($A200,"UD_VALUATION_RANK")</f>
        <v>91</v>
      </c>
      <c r="L200" s="4" cm="1">
        <f t="array" ref="L200">_xll.BDP($A200,"UD_MOMENTUM_PERCENTILE")</f>
        <v>14.88</v>
      </c>
      <c r="M200" s="4" cm="1">
        <f t="array" ref="M200">_xll.BDP($A200,"UD_MOMENTUM_RANK")</f>
        <v>2</v>
      </c>
      <c r="N200" s="4" cm="1">
        <f t="array" ref="N200">_xll.BDP($A200,"UD_RISK_PERCENTILE")</f>
        <v>28.73</v>
      </c>
    </row>
    <row r="201" spans="1:14" x14ac:dyDescent="0.25">
      <c r="A201" t="str">
        <v>NSISB DC Equity</v>
      </c>
      <c r="B201">
        <v>0.21363633192500001</v>
      </c>
      <c r="C201" s="3" t="str" cm="1">
        <f t="array" ref="C201">_xll.BDP(A201,"GICS_SECTOR_NAME")</f>
        <v>Materials</v>
      </c>
      <c r="D201" s="3" t="str" cm="1">
        <f t="array" ref="D201">_xll.BDP(A201,"GICS_INDUSTRY_NAME")</f>
        <v>Chemicals</v>
      </c>
      <c r="E201" s="4" cm="1">
        <f t="array" ref="E201">_xll.BDP($A201,"UD_OVERALL_FACTOR_PERCENTILE")</f>
        <v>48.75</v>
      </c>
      <c r="F201" s="5" cm="1">
        <f t="array" ref="F201">IFERROR(_xll.BDP($A201,"UD_OPERATING_QUALITY_FP"),50)</f>
        <v>79.5</v>
      </c>
      <c r="G201" s="4" cm="1">
        <f t="array" ref="G201">_xll.BDP($A201,"UD_OPERATING_QUALITY_RANK")</f>
        <v>88</v>
      </c>
      <c r="H201" s="4" cm="1">
        <f t="array" ref="H201">_xll.BDP($A201,"UD_GROWTH_PERCENTILE")</f>
        <v>67.03</v>
      </c>
      <c r="I201" s="6" cm="1">
        <f t="array" ref="I201">_xll.BDP($A201,"UD_GROWTH_RANK")</f>
        <v>86</v>
      </c>
      <c r="J201" s="4" cm="1">
        <f t="array" ref="J201">_xll.BDP($A201,"UD_VALUATION_PERCENTILE")</f>
        <v>17.86</v>
      </c>
      <c r="K201" s="4" cm="1">
        <f t="array" ref="K201">_xll.BDP($A201,"UD_VALUATION_RANK")</f>
        <v>3</v>
      </c>
      <c r="L201" s="4" cm="1">
        <f t="array" ref="L201">_xll.BDP($A201,"UD_MOMENTUM_PERCENTILE")</f>
        <v>49.82</v>
      </c>
      <c r="M201" s="4" cm="1">
        <f t="array" ref="M201">_xll.BDP($A201,"UD_MOMENTUM_RANK")</f>
        <v>54</v>
      </c>
      <c r="N201" s="4" cm="1">
        <f t="array" ref="N201">_xll.BDP($A201,"UD_RISK_PERCENTILE")</f>
        <v>78.03</v>
      </c>
    </row>
    <row r="202" spans="1:14" x14ac:dyDescent="0.25">
      <c r="A202" t="str">
        <v>NWG LN Equity</v>
      </c>
      <c r="B202">
        <v>0.45016750334400002</v>
      </c>
      <c r="C202" s="3" t="str" cm="1">
        <f t="array" ref="C202">_xll.BDP(A202,"GICS_SECTOR_NAME")</f>
        <v>Financials</v>
      </c>
      <c r="D202" s="3" t="str" cm="1">
        <f t="array" ref="D202">_xll.BDP(A202,"GICS_INDUSTRY_NAME")</f>
        <v>Banks</v>
      </c>
      <c r="E202" s="4" cm="1">
        <f t="array" ref="E202">_xll.BDP($A202,"UD_OVERALL_FACTOR_PERCENTILE")</f>
        <v>56.92</v>
      </c>
      <c r="F202" s="5" cm="1">
        <f t="array" ref="F202">IFERROR(_xll.BDP($A202,"UD_OPERATING_QUALITY_FP"),50)</f>
        <v>48.45</v>
      </c>
      <c r="G202" s="4" cm="1">
        <f t="array" ref="G202">_xll.BDP($A202,"UD_OPERATING_QUALITY_RANK")</f>
        <v>47</v>
      </c>
      <c r="H202" s="4" cm="1">
        <f t="array" ref="H202">_xll.BDP($A202,"UD_GROWTH_PERCENTILE")</f>
        <v>55.69</v>
      </c>
      <c r="I202" s="6" cm="1">
        <f t="array" ref="I202">_xll.BDP($A202,"UD_GROWTH_RANK")</f>
        <v>63</v>
      </c>
      <c r="J202" s="4" cm="1">
        <f t="array" ref="J202">_xll.BDP($A202,"UD_VALUATION_PERCENTILE")</f>
        <v>62.91</v>
      </c>
      <c r="K202" s="4" cm="1">
        <f t="array" ref="K202">_xll.BDP($A202,"UD_VALUATION_RANK")</f>
        <v>85</v>
      </c>
      <c r="L202" s="4" cm="1">
        <f t="array" ref="L202">_xll.BDP($A202,"UD_MOMENTUM_PERCENTILE")</f>
        <v>59.22</v>
      </c>
      <c r="M202" s="4" cm="1">
        <f t="array" ref="M202">_xll.BDP($A202,"UD_MOMENTUM_RANK")</f>
        <v>66</v>
      </c>
      <c r="N202" s="4" cm="1">
        <f t="array" ref="N202">_xll.BDP($A202,"UD_RISK_PERCENTILE")</f>
        <v>35.28</v>
      </c>
    </row>
    <row r="203" spans="1:14" x14ac:dyDescent="0.25">
      <c r="A203" t="str">
        <v>NXT LN Equity</v>
      </c>
      <c r="B203">
        <v>0.26083577700499999</v>
      </c>
      <c r="C203" s="3" t="str" cm="1">
        <f t="array" ref="C203">_xll.BDP(A203,"GICS_SECTOR_NAME")</f>
        <v>Consumer Discretionary</v>
      </c>
      <c r="D203" s="3" t="str" cm="1">
        <f t="array" ref="D203">_xll.BDP(A203,"GICS_INDUSTRY_NAME")</f>
        <v>Broadline Retail</v>
      </c>
      <c r="E203" s="4" cm="1">
        <f t="array" ref="E203">_xll.BDP($A203,"UD_OVERALL_FACTOR_PERCENTILE")</f>
        <v>54.85</v>
      </c>
      <c r="F203" s="5" cm="1">
        <f t="array" ref="F203">IFERROR(_xll.BDP($A203,"UD_OPERATING_QUALITY_FP"),50)</f>
        <v>70.77</v>
      </c>
      <c r="G203" s="4" cm="1">
        <f t="array" ref="G203">_xll.BDP($A203,"UD_OPERATING_QUALITY_RANK")</f>
        <v>81</v>
      </c>
      <c r="H203" s="4" cm="1">
        <f t="array" ref="H203">_xll.BDP($A203,"UD_GROWTH_PERCENTILE")</f>
        <v>43.59</v>
      </c>
      <c r="I203" s="6" cm="1">
        <f t="array" ref="I203">_xll.BDP($A203,"UD_GROWTH_RANK")</f>
        <v>35</v>
      </c>
      <c r="J203" s="4" cm="1">
        <f t="array" ref="J203">_xll.BDP($A203,"UD_VALUATION_PERCENTILE")</f>
        <v>28.93</v>
      </c>
      <c r="K203" s="4" cm="1">
        <f t="array" ref="K203">_xll.BDP($A203,"UD_VALUATION_RANK")</f>
        <v>20</v>
      </c>
      <c r="L203" s="4" cm="1">
        <f t="array" ref="L203">_xll.BDP($A203,"UD_MOMENTUM_PERCENTILE")</f>
        <v>65.650000000000006</v>
      </c>
      <c r="M203" s="4" cm="1">
        <f t="array" ref="M203">_xll.BDP($A203,"UD_MOMENTUM_RANK")</f>
        <v>87</v>
      </c>
      <c r="N203" s="4" cm="1">
        <f t="array" ref="N203">_xll.BDP($A203,"UD_RISK_PERCENTILE")</f>
        <v>58.63</v>
      </c>
    </row>
    <row r="204" spans="1:14" x14ac:dyDescent="0.25">
      <c r="A204" t="str">
        <v>OR FP Equity</v>
      </c>
      <c r="B204">
        <v>0.59372654285000004</v>
      </c>
      <c r="C204" s="3" t="str" cm="1">
        <f t="array" ref="C204">_xll.BDP(A204,"GICS_SECTOR_NAME")</f>
        <v>Consumer Staples</v>
      </c>
      <c r="D204" s="3" t="str" cm="1">
        <f t="array" ref="D204">_xll.BDP(A204,"GICS_INDUSTRY_NAME")</f>
        <v>Personal Care Products</v>
      </c>
      <c r="E204" s="4" cm="1">
        <f t="array" ref="E204">_xll.BDP($A204,"UD_OVERALL_FACTOR_PERCENTILE")</f>
        <v>46.23</v>
      </c>
      <c r="F204" s="5" cm="1">
        <f t="array" ref="F204">IFERROR(_xll.BDP($A204,"UD_OPERATING_QUALITY_FP"),50)</f>
        <v>76.48</v>
      </c>
      <c r="G204" s="4" cm="1">
        <f t="array" ref="G204">_xll.BDP($A204,"UD_OPERATING_QUALITY_RANK")</f>
        <v>89</v>
      </c>
      <c r="H204" s="4" cm="1">
        <f t="array" ref="H204">_xll.BDP($A204,"UD_GROWTH_PERCENTILE")</f>
        <v>54.58</v>
      </c>
      <c r="I204" s="6" cm="1">
        <f t="array" ref="I204">_xll.BDP($A204,"UD_GROWTH_RANK")</f>
        <v>61</v>
      </c>
      <c r="J204" s="4" cm="1">
        <f t="array" ref="J204">_xll.BDP($A204,"UD_VALUATION_PERCENTILE")</f>
        <v>15.23</v>
      </c>
      <c r="K204" s="4" cm="1">
        <f t="array" ref="K204">_xll.BDP($A204,"UD_VALUATION_RANK")</f>
        <v>5</v>
      </c>
      <c r="L204" s="4" cm="1">
        <f t="array" ref="L204">_xll.BDP($A204,"UD_MOMENTUM_PERCENTILE")</f>
        <v>47.91</v>
      </c>
      <c r="M204" s="4" cm="1">
        <f t="array" ref="M204">_xll.BDP($A204,"UD_MOMENTUM_RANK")</f>
        <v>43</v>
      </c>
      <c r="N204" s="4" cm="1">
        <f t="array" ref="N204">_xll.BDP($A204,"UD_RISK_PERCENTILE")</f>
        <v>74.03</v>
      </c>
    </row>
    <row r="205" spans="1:14" x14ac:dyDescent="0.25">
      <c r="A205" t="str">
        <v>ORA FP Equity</v>
      </c>
      <c r="B205">
        <v>0.21464169006100001</v>
      </c>
      <c r="C205" s="3" t="str" cm="1">
        <f t="array" ref="C205">_xll.BDP(A205,"GICS_SECTOR_NAME")</f>
        <v>Communication Services</v>
      </c>
      <c r="D205" s="3" t="str" cm="1">
        <f t="array" ref="D205">_xll.BDP(A205,"GICS_INDUSTRY_NAME")</f>
        <v>Diversified Telecommunication</v>
      </c>
      <c r="E205" s="4" cm="1">
        <f t="array" ref="E205">_xll.BDP($A205,"UD_OVERALL_FACTOR_PERCENTILE")</f>
        <v>50.61</v>
      </c>
      <c r="F205" s="5" cm="1">
        <f t="array" ref="F205">IFERROR(_xll.BDP($A205,"UD_OPERATING_QUALITY_FP"),50)</f>
        <v>49.18</v>
      </c>
      <c r="G205" s="4" cm="1">
        <f t="array" ref="G205">_xll.BDP($A205,"UD_OPERATING_QUALITY_RANK")</f>
        <v>30</v>
      </c>
      <c r="H205" s="4" cm="1">
        <f t="array" ref="H205">_xll.BDP($A205,"UD_GROWTH_PERCENTILE")</f>
        <v>31.17</v>
      </c>
      <c r="I205" s="6" cm="1">
        <f t="array" ref="I205">_xll.BDP($A205,"UD_GROWTH_RANK")</f>
        <v>10</v>
      </c>
      <c r="J205" s="4" cm="1">
        <f t="array" ref="J205">_xll.BDP($A205,"UD_VALUATION_PERCENTILE")</f>
        <v>60.24</v>
      </c>
      <c r="K205" s="4" cm="1">
        <f t="array" ref="K205">_xll.BDP($A205,"UD_VALUATION_RANK")</f>
        <v>66</v>
      </c>
      <c r="L205" s="4" cm="1">
        <f t="array" ref="L205">_xll.BDP($A205,"UD_MOMENTUM_PERCENTILE")</f>
        <v>42.09</v>
      </c>
      <c r="M205" s="4" cm="1">
        <f t="array" ref="M205">_xll.BDP($A205,"UD_MOMENTUM_RANK")</f>
        <v>26</v>
      </c>
      <c r="N205" s="4" cm="1">
        <f t="array" ref="N205">_xll.BDP($A205,"UD_RISK_PERCENTILE")</f>
        <v>91.76</v>
      </c>
    </row>
    <row r="206" spans="1:14" x14ac:dyDescent="0.25">
      <c r="A206" t="str">
        <v>ORK NO Equity</v>
      </c>
      <c r="B206">
        <v>0.21408061069500001</v>
      </c>
      <c r="C206" s="3" t="str" cm="1">
        <f t="array" ref="C206">_xll.BDP(A206,"GICS_SECTOR_NAME")</f>
        <v>Consumer Staples</v>
      </c>
      <c r="D206" s="3" t="str" cm="1">
        <f t="array" ref="D206">_xll.BDP(A206,"GICS_INDUSTRY_NAME")</f>
        <v>Food Products</v>
      </c>
      <c r="E206" s="4" cm="1">
        <f t="array" ref="E206">_xll.BDP($A206,"UD_OVERALL_FACTOR_PERCENTILE")</f>
        <v>50.6</v>
      </c>
      <c r="F206" s="5" cm="1">
        <f t="array" ref="F206">IFERROR(_xll.BDP($A206,"UD_OPERATING_QUALITY_FP"),50)</f>
        <v>61.54</v>
      </c>
      <c r="G206" s="4" cm="1">
        <f t="array" ref="G206">_xll.BDP($A206,"UD_OPERATING_QUALITY_RANK")</f>
        <v>62</v>
      </c>
      <c r="H206" s="4" cm="1">
        <f t="array" ref="H206">_xll.BDP($A206,"UD_GROWTH_PERCENTILE")</f>
        <v>46.06</v>
      </c>
      <c r="I206" s="6" cm="1">
        <f t="array" ref="I206">_xll.BDP($A206,"UD_GROWTH_RANK")</f>
        <v>40</v>
      </c>
      <c r="J206" s="4" cm="1">
        <f t="array" ref="J206">_xll.BDP($A206,"UD_VALUATION_PERCENTILE")</f>
        <v>34.9</v>
      </c>
      <c r="K206" s="4" cm="1">
        <f t="array" ref="K206">_xll.BDP($A206,"UD_VALUATION_RANK")</f>
        <v>20</v>
      </c>
      <c r="L206" s="4" cm="1">
        <f t="array" ref="L206">_xll.BDP($A206,"UD_MOMENTUM_PERCENTILE")</f>
        <v>55.83</v>
      </c>
      <c r="M206" s="4" cm="1">
        <f t="array" ref="M206">_xll.BDP($A206,"UD_MOMENTUM_RANK")</f>
        <v>68</v>
      </c>
      <c r="N206" s="4" cm="1">
        <f t="array" ref="N206">_xll.BDP($A206,"UD_RISK_PERCENTILE")</f>
        <v>95.87</v>
      </c>
    </row>
    <row r="207" spans="1:14" x14ac:dyDescent="0.25">
      <c r="A207" t="str">
        <v>ORNBV FH Equity</v>
      </c>
      <c r="B207">
        <v>8.2092983943000006E-2</v>
      </c>
      <c r="C207" s="3" t="str" cm="1">
        <f t="array" ref="C207">_xll.BDP(A207,"GICS_SECTOR_NAME")</f>
        <v>Health Care</v>
      </c>
      <c r="D207" s="3" t="str" cm="1">
        <f t="array" ref="D207">_xll.BDP(A207,"GICS_INDUSTRY_NAME")</f>
        <v>Pharmaceuticals</v>
      </c>
      <c r="E207" s="4" cm="1">
        <f t="array" ref="E207">_xll.BDP($A207,"UD_OVERALL_FACTOR_PERCENTILE")</f>
        <v>64.11</v>
      </c>
      <c r="F207" s="5" cm="1">
        <f t="array" ref="F207">IFERROR(_xll.BDP($A207,"UD_OPERATING_QUALITY_FP"),50)</f>
        <v>61.29</v>
      </c>
      <c r="G207" s="4" cm="1">
        <f t="array" ref="G207">_xll.BDP($A207,"UD_OPERATING_QUALITY_RANK")</f>
        <v>67</v>
      </c>
      <c r="H207" s="4" cm="1">
        <f t="array" ref="H207">_xll.BDP($A207,"UD_GROWTH_PERCENTILE")</f>
        <v>62.99</v>
      </c>
      <c r="I207" s="6" cm="1">
        <f t="array" ref="I207">_xll.BDP($A207,"UD_GROWTH_RANK")</f>
        <v>79</v>
      </c>
      <c r="J207" s="4" cm="1">
        <f t="array" ref="J207">_xll.BDP($A207,"UD_VALUATION_PERCENTILE")</f>
        <v>46.84</v>
      </c>
      <c r="K207" s="4" cm="1">
        <f t="array" ref="K207">_xll.BDP($A207,"UD_VALUATION_RANK")</f>
        <v>45</v>
      </c>
      <c r="L207" s="4" cm="1">
        <f t="array" ref="L207">_xll.BDP($A207,"UD_MOMENTUM_PERCENTILE")</f>
        <v>84.74</v>
      </c>
      <c r="M207" s="4" cm="1">
        <f t="array" ref="M207">_xll.BDP($A207,"UD_MOMENTUM_RANK")</f>
        <v>95</v>
      </c>
      <c r="N207" s="4" cm="1">
        <f t="array" ref="N207">_xll.BDP($A207,"UD_RISK_PERCENTILE")</f>
        <v>72.47</v>
      </c>
    </row>
    <row r="208" spans="1:14" x14ac:dyDescent="0.25">
      <c r="A208" t="str">
        <v>ORSTED DC Equity</v>
      </c>
      <c r="B208">
        <v>4.3097254538999999E-2</v>
      </c>
      <c r="C208" s="3" t="str" cm="1">
        <f t="array" ref="C208">_xll.BDP(A208,"GICS_SECTOR_NAME")</f>
        <v>Utilities</v>
      </c>
      <c r="D208" s="3" t="str" cm="1">
        <f t="array" ref="D208">_xll.BDP(A208,"GICS_INDUSTRY_NAME")</f>
        <v>Independent Power and Renewabl</v>
      </c>
      <c r="E208" s="4" cm="1">
        <f t="array" ref="E208">_xll.BDP($A208,"UD_OVERALL_FACTOR_PERCENTILE")</f>
        <v>29.37</v>
      </c>
      <c r="F208" s="5" cm="1">
        <f t="array" ref="F208">IFERROR(_xll.BDP($A208,"UD_OPERATING_QUALITY_FP"),50)</f>
        <v>33.96</v>
      </c>
      <c r="G208" s="4" cm="1">
        <f t="array" ref="G208">_xll.BDP($A208,"UD_OPERATING_QUALITY_RANK")</f>
        <v>25</v>
      </c>
      <c r="H208" s="4" cm="1">
        <f t="array" ref="H208">_xll.BDP($A208,"UD_GROWTH_PERCENTILE")</f>
        <v>54.54</v>
      </c>
      <c r="I208" s="6" cm="1">
        <f t="array" ref="I208">_xll.BDP($A208,"UD_GROWTH_RANK")</f>
        <v>61</v>
      </c>
      <c r="J208" s="4" cm="1">
        <f t="array" ref="J208">_xll.BDP($A208,"UD_VALUATION_PERCENTILE")</f>
        <v>24.6</v>
      </c>
      <c r="K208" s="4" cm="1">
        <f t="array" ref="K208">_xll.BDP($A208,"UD_VALUATION_RANK")</f>
        <v>15</v>
      </c>
      <c r="L208" s="4" cm="1">
        <f t="array" ref="L208">_xll.BDP($A208,"UD_MOMENTUM_PERCENTILE")</f>
        <v>29.71</v>
      </c>
      <c r="M208" s="4" cm="1">
        <f t="array" ref="M208">_xll.BDP($A208,"UD_MOMENTUM_RANK")</f>
        <v>15</v>
      </c>
      <c r="N208" s="4" cm="1">
        <f t="array" ref="N208">_xll.BDP($A208,"UD_RISK_PERCENTILE")</f>
        <v>34.19</v>
      </c>
    </row>
    <row r="209" spans="1:14" x14ac:dyDescent="0.25">
      <c r="A209" t="str">
        <v>PAH3 GY Equity</v>
      </c>
      <c r="B209">
        <v>9.9778885680000002E-3</v>
      </c>
      <c r="C209" s="3" t="str" cm="1">
        <f t="array" ref="C209">_xll.BDP(A209,"GICS_SECTOR_NAME")</f>
        <v>Consumer Discretionary</v>
      </c>
      <c r="D209" s="3" t="str" cm="1">
        <f t="array" ref="D209">_xll.BDP(A209,"GICS_INDUSTRY_NAME")</f>
        <v>Automobiles</v>
      </c>
      <c r="E209" s="4" t="str" cm="1">
        <f t="array" ref="E209">_xll.BDP($A209,"UD_OVERALL_FACTOR_PERCENTILE")</f>
        <v>#N/A Field Not Applicable</v>
      </c>
      <c r="F209" s="5" t="str" cm="1">
        <f t="array" ref="F209">IFERROR(_xll.BDP($A209,"UD_OPERATING_QUALITY_FP"),50)</f>
        <v>#N/A Field Not Applicable</v>
      </c>
      <c r="G209" s="4" t="str" cm="1">
        <f t="array" ref="G209">_xll.BDP($A209,"UD_OPERATING_QUALITY_RANK")</f>
        <v>#N/A Field Not Applicable</v>
      </c>
      <c r="H209" s="4" t="str" cm="1">
        <f t="array" ref="H209">_xll.BDP($A209,"UD_GROWTH_PERCENTILE")</f>
        <v>#N/A Field Not Applicable</v>
      </c>
      <c r="I209" s="6" t="str" cm="1">
        <f t="array" ref="I209">_xll.BDP($A209,"UD_GROWTH_RANK")</f>
        <v>#N/A Field Not Applicable</v>
      </c>
      <c r="J209" s="4" t="str" cm="1">
        <f t="array" ref="J209">_xll.BDP($A209,"UD_VALUATION_PERCENTILE")</f>
        <v>#N/A Field Not Applicable</v>
      </c>
      <c r="K209" s="4" t="str" cm="1">
        <f t="array" ref="K209">_xll.BDP($A209,"UD_VALUATION_RANK")</f>
        <v>#N/A Field Not Applicable</v>
      </c>
      <c r="L209" s="4" t="str" cm="1">
        <f t="array" ref="L209">_xll.BDP($A209,"UD_MOMENTUM_PERCENTILE")</f>
        <v>#N/A Field Not Applicable</v>
      </c>
      <c r="M209" s="4" t="str" cm="1">
        <f t="array" ref="M209">_xll.BDP($A209,"UD_MOMENTUM_RANK")</f>
        <v>#N/A Field Not Applicable</v>
      </c>
      <c r="N209" s="4" t="str" cm="1">
        <f t="array" ref="N209">_xll.BDP($A209,"UD_RISK_PERCENTILE")</f>
        <v>#N/A Field Not Applicable</v>
      </c>
    </row>
    <row r="210" spans="1:14" x14ac:dyDescent="0.25">
      <c r="A210" t="str">
        <v>PGHN SW Equity</v>
      </c>
      <c r="B210">
        <v>0.14728764115699999</v>
      </c>
      <c r="C210" s="3" t="str" cm="1">
        <f t="array" ref="C210">_xll.BDP(A210,"GICS_SECTOR_NAME")</f>
        <v>Financials</v>
      </c>
      <c r="D210" s="3" t="str" cm="1">
        <f t="array" ref="D210">_xll.BDP(A210,"GICS_INDUSTRY_NAME")</f>
        <v>Capital Markets</v>
      </c>
      <c r="E210" s="4" cm="1">
        <f t="array" ref="E210">_xll.BDP($A210,"UD_OVERALL_FACTOR_PERCENTILE")</f>
        <v>50.65</v>
      </c>
      <c r="F210" s="5" cm="1">
        <f t="array" ref="F210">IFERROR(_xll.BDP($A210,"UD_OPERATING_QUALITY_FP"),50)</f>
        <v>76.319999999999993</v>
      </c>
      <c r="G210" s="4" cm="1">
        <f t="array" ref="G210">_xll.BDP($A210,"UD_OPERATING_QUALITY_RANK")</f>
        <v>95</v>
      </c>
      <c r="H210" s="4" cm="1">
        <f t="array" ref="H210">_xll.BDP($A210,"UD_GROWTH_PERCENTILE")</f>
        <v>57.52</v>
      </c>
      <c r="I210" s="6" cm="1">
        <f t="array" ref="I210">_xll.BDP($A210,"UD_GROWTH_RANK")</f>
        <v>67</v>
      </c>
      <c r="J210" s="4" cm="1">
        <f t="array" ref="J210">_xll.BDP($A210,"UD_VALUATION_PERCENTILE")</f>
        <v>28.86</v>
      </c>
      <c r="K210" s="4" cm="1">
        <f t="array" ref="K210">_xll.BDP($A210,"UD_VALUATION_RANK")</f>
        <v>16</v>
      </c>
      <c r="L210" s="4" cm="1">
        <f t="array" ref="L210">_xll.BDP($A210,"UD_MOMENTUM_PERCENTILE")</f>
        <v>47.43</v>
      </c>
      <c r="M210" s="4" cm="1">
        <f t="array" ref="M210">_xll.BDP($A210,"UD_MOMENTUM_RANK")</f>
        <v>40</v>
      </c>
      <c r="N210" s="4" cm="1">
        <f t="array" ref="N210">_xll.BDP($A210,"UD_RISK_PERCENTILE")</f>
        <v>47.9</v>
      </c>
    </row>
    <row r="211" spans="1:14" x14ac:dyDescent="0.25">
      <c r="A211" t="str">
        <v>PHIA NA Equity</v>
      </c>
      <c r="B211">
        <v>0.111116892494</v>
      </c>
      <c r="C211" s="3" t="str" cm="1">
        <f t="array" ref="C211">_xll.BDP(A211,"GICS_SECTOR_NAME")</f>
        <v>Health Care</v>
      </c>
      <c r="D211" s="3" t="str" cm="1">
        <f t="array" ref="D211">_xll.BDP(A211,"GICS_INDUSTRY_NAME")</f>
        <v>Health Care Equipment &amp; Suppli</v>
      </c>
      <c r="E211" s="4" cm="1">
        <f t="array" ref="E211">_xll.BDP($A211,"UD_OVERALL_FACTOR_PERCENTILE")</f>
        <v>54.6</v>
      </c>
      <c r="F211" s="5" cm="1">
        <f t="array" ref="F211">IFERROR(_xll.BDP($A211,"UD_OPERATING_QUALITY_FP"),50)</f>
        <v>50.04</v>
      </c>
      <c r="G211" s="4" cm="1">
        <f t="array" ref="G211">_xll.BDP($A211,"UD_OPERATING_QUALITY_RANK")</f>
        <v>42</v>
      </c>
      <c r="H211" s="4" cm="1">
        <f t="array" ref="H211">_xll.BDP($A211,"UD_GROWTH_PERCENTILE")</f>
        <v>40.86</v>
      </c>
      <c r="I211" s="6" cm="1">
        <f t="array" ref="I211">_xll.BDP($A211,"UD_GROWTH_RANK")</f>
        <v>30</v>
      </c>
      <c r="J211" s="4" cm="1">
        <f t="array" ref="J211">_xll.BDP($A211,"UD_VALUATION_PERCENTILE")</f>
        <v>64.03</v>
      </c>
      <c r="K211" s="4" cm="1">
        <f t="array" ref="K211">_xll.BDP($A211,"UD_VALUATION_RANK")</f>
        <v>75</v>
      </c>
      <c r="L211" s="4" cm="1">
        <f t="array" ref="L211">_xll.BDP($A211,"UD_MOMENTUM_PERCENTILE")</f>
        <v>49.45</v>
      </c>
      <c r="M211" s="4" cm="1">
        <f t="array" ref="M211">_xll.BDP($A211,"UD_MOMENTUM_RANK")</f>
        <v>51</v>
      </c>
      <c r="N211" s="4" cm="1">
        <f t="array" ref="N211">_xll.BDP($A211,"UD_RISK_PERCENTILE")</f>
        <v>53.13</v>
      </c>
    </row>
    <row r="212" spans="1:14" x14ac:dyDescent="0.25">
      <c r="A212" t="str">
        <v>PNDORA DC Equity</v>
      </c>
      <c r="B212">
        <v>0.124457374363</v>
      </c>
      <c r="C212" s="3" t="str" cm="1">
        <f t="array" ref="C212">_xll.BDP(A212,"GICS_SECTOR_NAME")</f>
        <v>Consumer Discretionary</v>
      </c>
      <c r="D212" s="3" t="str" cm="1">
        <f t="array" ref="D212">_xll.BDP(A212,"GICS_INDUSTRY_NAME")</f>
        <v>Textiles, Apparel &amp; Luxury Goo</v>
      </c>
      <c r="E212" s="4" cm="1">
        <f t="array" ref="E212">_xll.BDP($A212,"UD_OVERALL_FACTOR_PERCENTILE")</f>
        <v>58.12</v>
      </c>
      <c r="F212" s="5" cm="1">
        <f t="array" ref="F212">IFERROR(_xll.BDP($A212,"UD_OPERATING_QUALITY_FP"),50)</f>
        <v>81.2</v>
      </c>
      <c r="G212" s="4" cm="1">
        <f t="array" ref="G212">_xll.BDP($A212,"UD_OPERATING_QUALITY_RANK")</f>
        <v>96</v>
      </c>
      <c r="H212" s="4" cm="1">
        <f t="array" ref="H212">_xll.BDP($A212,"UD_GROWTH_PERCENTILE")</f>
        <v>57.31</v>
      </c>
      <c r="I212" s="6" cm="1">
        <f t="array" ref="I212">_xll.BDP($A212,"UD_GROWTH_RANK")</f>
        <v>67</v>
      </c>
      <c r="J212" s="4" cm="1">
        <f t="array" ref="J212">_xll.BDP($A212,"UD_VALUATION_PERCENTILE")</f>
        <v>56.85</v>
      </c>
      <c r="K212" s="4" cm="1">
        <f t="array" ref="K212">_xll.BDP($A212,"UD_VALUATION_RANK")</f>
        <v>61</v>
      </c>
      <c r="L212" s="4" cm="1">
        <f t="array" ref="L212">_xll.BDP($A212,"UD_MOMENTUM_PERCENTILE")</f>
        <v>36.35</v>
      </c>
      <c r="M212" s="4" cm="1">
        <f t="array" ref="M212">_xll.BDP($A212,"UD_MOMENTUM_RANK")</f>
        <v>26</v>
      </c>
      <c r="N212" s="4" cm="1">
        <f t="array" ref="N212">_xll.BDP($A212,"UD_RISK_PERCENTILE")</f>
        <v>19.46</v>
      </c>
    </row>
    <row r="213" spans="1:14" x14ac:dyDescent="0.25">
      <c r="A213" t="str">
        <v>PRU LN Equity</v>
      </c>
      <c r="B213">
        <v>0.104312061978</v>
      </c>
      <c r="C213" s="3" t="str" cm="1">
        <f t="array" ref="C213">_xll.BDP(A213,"GICS_SECTOR_NAME")</f>
        <v>Financials</v>
      </c>
      <c r="D213" s="3" t="str" cm="1">
        <f t="array" ref="D213">_xll.BDP(A213,"GICS_INDUSTRY_NAME")</f>
        <v>Insurance</v>
      </c>
      <c r="E213" s="4" cm="1">
        <f t="array" ref="E213">_xll.BDP($A213,"UD_OVERALL_FACTOR_PERCENTILE")</f>
        <v>46.78</v>
      </c>
      <c r="F213" s="5" cm="1">
        <f t="array" ref="F213">IFERROR(_xll.BDP($A213,"UD_OPERATING_QUALITY_FP"),50)</f>
        <v>38.299999999999997</v>
      </c>
      <c r="G213" s="4" cm="1">
        <f t="array" ref="G213">_xll.BDP($A213,"UD_OPERATING_QUALITY_RANK")</f>
        <v>11</v>
      </c>
      <c r="H213" s="4" cm="1">
        <f t="array" ref="H213">_xll.BDP($A213,"UD_GROWTH_PERCENTILE")</f>
        <v>58.61</v>
      </c>
      <c r="I213" s="6" cm="1">
        <f t="array" ref="I213">_xll.BDP($A213,"UD_GROWTH_RANK")</f>
        <v>70</v>
      </c>
      <c r="J213" s="4" cm="1">
        <f t="array" ref="J213">_xll.BDP($A213,"UD_VALUATION_PERCENTILE")</f>
        <v>46.62</v>
      </c>
      <c r="K213" s="4" cm="1">
        <f t="array" ref="K213">_xll.BDP($A213,"UD_VALUATION_RANK")</f>
        <v>46</v>
      </c>
      <c r="L213" s="4" cm="1">
        <f t="array" ref="L213">_xll.BDP($A213,"UD_MOMENTUM_PERCENTILE")</f>
        <v>55.43</v>
      </c>
      <c r="M213" s="4" cm="1">
        <f t="array" ref="M213">_xll.BDP($A213,"UD_MOMENTUM_RANK")</f>
        <v>57</v>
      </c>
      <c r="N213" s="4" cm="1">
        <f t="array" ref="N213">_xll.BDP($A213,"UD_RISK_PERCENTILE")</f>
        <v>45.93</v>
      </c>
    </row>
    <row r="214" spans="1:14" x14ac:dyDescent="0.25">
      <c r="A214" t="str">
        <v>PRX NA Equity</v>
      </c>
      <c r="B214">
        <v>0.64485093312200004</v>
      </c>
      <c r="C214" s="3" t="str" cm="1">
        <f t="array" ref="C214">_xll.BDP(A214,"GICS_SECTOR_NAME")</f>
        <v>Consumer Discretionary</v>
      </c>
      <c r="D214" s="3" t="str" cm="1">
        <f t="array" ref="D214">_xll.BDP(A214,"GICS_INDUSTRY_NAME")</f>
        <v>Broadline Retail</v>
      </c>
      <c r="E214" s="4" cm="1">
        <f t="array" ref="E214">_xll.BDP($A214,"UD_OVERALL_FACTOR_PERCENTILE")</f>
        <v>39.340000000000003</v>
      </c>
      <c r="F214" s="5" cm="1">
        <f t="array" ref="F214">IFERROR(_xll.BDP($A214,"UD_OPERATING_QUALITY_FP"),50)</f>
        <v>25.9</v>
      </c>
      <c r="G214" s="4" cm="1">
        <f t="array" ref="G214">_xll.BDP($A214,"UD_OPERATING_QUALITY_RANK")</f>
        <v>5</v>
      </c>
      <c r="H214" s="4" cm="1">
        <f t="array" ref="H214">_xll.BDP($A214,"UD_GROWTH_PERCENTILE")</f>
        <v>48.63</v>
      </c>
      <c r="I214" s="6" cm="1">
        <f t="array" ref="I214">_xll.BDP($A214,"UD_GROWTH_RANK")</f>
        <v>45</v>
      </c>
      <c r="J214" s="4" cm="1">
        <f t="array" ref="J214">_xll.BDP($A214,"UD_VALUATION_PERCENTILE")</f>
        <v>35.1</v>
      </c>
      <c r="K214" s="4" cm="1">
        <f t="array" ref="K214">_xll.BDP($A214,"UD_VALUATION_RANK")</f>
        <v>30</v>
      </c>
      <c r="L214" s="4" cm="1">
        <f t="array" ref="L214">_xll.BDP($A214,"UD_MOMENTUM_PERCENTILE")</f>
        <v>57.15</v>
      </c>
      <c r="M214" s="4" cm="1">
        <f t="array" ref="M214">_xll.BDP($A214,"UD_MOMENTUM_RANK")</f>
        <v>69</v>
      </c>
      <c r="N214" s="4" cm="1">
        <f t="array" ref="N214">_xll.BDP($A214,"UD_RISK_PERCENTILE")</f>
        <v>59.34</v>
      </c>
    </row>
    <row r="215" spans="1:14" x14ac:dyDescent="0.25">
      <c r="A215" t="str">
        <v>PRY IM Equity</v>
      </c>
      <c r="B215">
        <v>0.368875393434</v>
      </c>
      <c r="C215" s="3" t="str" cm="1">
        <f t="array" ref="C215">_xll.BDP(A215,"GICS_SECTOR_NAME")</f>
        <v>Industrials</v>
      </c>
      <c r="D215" s="3" t="str" cm="1">
        <f t="array" ref="D215">_xll.BDP(A215,"GICS_INDUSTRY_NAME")</f>
        <v>Electrical Equipment</v>
      </c>
      <c r="E215" s="4" cm="1">
        <f t="array" ref="E215">_xll.BDP($A215,"UD_OVERALL_FACTOR_PERCENTILE")</f>
        <v>49.57</v>
      </c>
      <c r="F215" s="5" cm="1">
        <f t="array" ref="F215">IFERROR(_xll.BDP($A215,"UD_OPERATING_QUALITY_FP"),50)</f>
        <v>50.86</v>
      </c>
      <c r="G215" s="4" cm="1">
        <f t="array" ref="G215">_xll.BDP($A215,"UD_OPERATING_QUALITY_RANK")</f>
        <v>42</v>
      </c>
      <c r="H215" s="4" cm="1">
        <f t="array" ref="H215">_xll.BDP($A215,"UD_GROWTH_PERCENTILE")</f>
        <v>65.010000000000005</v>
      </c>
      <c r="I215" s="6" cm="1">
        <f t="array" ref="I215">_xll.BDP($A215,"UD_GROWTH_RANK")</f>
        <v>82</v>
      </c>
      <c r="J215" s="4" cm="1">
        <f t="array" ref="J215">_xll.BDP($A215,"UD_VALUATION_PERCENTILE")</f>
        <v>34.840000000000003</v>
      </c>
      <c r="K215" s="4" cm="1">
        <f t="array" ref="K215">_xll.BDP($A215,"UD_VALUATION_RANK")</f>
        <v>33</v>
      </c>
      <c r="L215" s="4" cm="1">
        <f t="array" ref="L215">_xll.BDP($A215,"UD_MOMENTUM_PERCENTILE")</f>
        <v>63.47</v>
      </c>
      <c r="M215" s="4" cm="1">
        <f t="array" ref="M215">_xll.BDP($A215,"UD_MOMENTUM_RANK")</f>
        <v>77</v>
      </c>
      <c r="N215" s="4" cm="1">
        <f t="array" ref="N215">_xll.BDP($A215,"UD_RISK_PERCENTILE")</f>
        <v>57.21</v>
      </c>
    </row>
    <row r="216" spans="1:14" x14ac:dyDescent="0.25">
      <c r="A216" t="str">
        <v>PSN LN Equity</v>
      </c>
      <c r="B216">
        <v>1.4360192553999999E-2</v>
      </c>
      <c r="C216" s="3" t="str" cm="1">
        <f t="array" ref="C216">_xll.BDP(A216,"GICS_SECTOR_NAME")</f>
        <v>Consumer Discretionary</v>
      </c>
      <c r="D216" s="3" t="str" cm="1">
        <f t="array" ref="D216">_xll.BDP(A216,"GICS_INDUSTRY_NAME")</f>
        <v>Household Durables</v>
      </c>
      <c r="E216" s="4" cm="1">
        <f t="array" ref="E216">_xll.BDP($A216,"UD_OVERALL_FACTOR_PERCENTILE")</f>
        <v>58.95</v>
      </c>
      <c r="F216" s="5" cm="1">
        <f t="array" ref="F216">IFERROR(_xll.BDP($A216,"UD_OPERATING_QUALITY_FP"),50)</f>
        <v>54.63</v>
      </c>
      <c r="G216" s="4" cm="1">
        <f t="array" ref="G216">_xll.BDP($A216,"UD_OPERATING_QUALITY_RANK")</f>
        <v>51</v>
      </c>
      <c r="H216" s="4" cm="1">
        <f t="array" ref="H216">_xll.BDP($A216,"UD_GROWTH_PERCENTILE")</f>
        <v>39.950000000000003</v>
      </c>
      <c r="I216" s="6" cm="1">
        <f t="array" ref="I216">_xll.BDP($A216,"UD_GROWTH_RANK")</f>
        <v>27</v>
      </c>
      <c r="J216" s="4" cm="1">
        <f t="array" ref="J216">_xll.BDP($A216,"UD_VALUATION_PERCENTILE")</f>
        <v>71.180000000000007</v>
      </c>
      <c r="K216" s="4" cm="1">
        <f t="array" ref="K216">_xll.BDP($A216,"UD_VALUATION_RANK")</f>
        <v>84</v>
      </c>
      <c r="L216" s="4" cm="1">
        <f t="array" ref="L216">_xll.BDP($A216,"UD_MOMENTUM_PERCENTILE")</f>
        <v>50.67</v>
      </c>
      <c r="M216" s="4" cm="1">
        <f t="array" ref="M216">_xll.BDP($A216,"UD_MOMENTUM_RANK")</f>
        <v>58</v>
      </c>
      <c r="N216" s="4" cm="1">
        <f t="array" ref="N216">_xll.BDP($A216,"UD_RISK_PERCENTILE")</f>
        <v>33.47</v>
      </c>
    </row>
    <row r="217" spans="1:14" x14ac:dyDescent="0.25">
      <c r="A217" t="str">
        <v>PSON LN Equity</v>
      </c>
      <c r="B217">
        <v>0.12576027328100001</v>
      </c>
      <c r="C217" s="3" t="str" cm="1">
        <f t="array" ref="C217">_xll.BDP(A217,"GICS_SECTOR_NAME")</f>
        <v>Consumer Discretionary</v>
      </c>
      <c r="D217" s="3" t="str" cm="1">
        <f t="array" ref="D217">_xll.BDP(A217,"GICS_INDUSTRY_NAME")</f>
        <v>Diversified Consumer Services</v>
      </c>
      <c r="E217" s="4" cm="1">
        <f t="array" ref="E217">_xll.BDP($A217,"UD_OVERALL_FACTOR_PERCENTILE")</f>
        <v>47.82</v>
      </c>
      <c r="F217" s="5" cm="1">
        <f t="array" ref="F217">IFERROR(_xll.BDP($A217,"UD_OPERATING_QUALITY_FP"),50)</f>
        <v>59.63</v>
      </c>
      <c r="G217" s="4" cm="1">
        <f t="array" ref="G217">_xll.BDP($A217,"UD_OPERATING_QUALITY_RANK")</f>
        <v>62</v>
      </c>
      <c r="H217" s="4" cm="1">
        <f t="array" ref="H217">_xll.BDP($A217,"UD_GROWTH_PERCENTILE")</f>
        <v>30.32</v>
      </c>
      <c r="I217" s="6" cm="1">
        <f t="array" ref="I217">_xll.BDP($A217,"UD_GROWTH_RANK")</f>
        <v>9</v>
      </c>
      <c r="J217" s="4" cm="1">
        <f t="array" ref="J217">_xll.BDP($A217,"UD_VALUATION_PERCENTILE")</f>
        <v>35.56</v>
      </c>
      <c r="K217" s="4" cm="1">
        <f t="array" ref="K217">_xll.BDP($A217,"UD_VALUATION_RANK")</f>
        <v>31</v>
      </c>
      <c r="L217" s="4" cm="1">
        <f t="array" ref="L217">_xll.BDP($A217,"UD_MOMENTUM_PERCENTILE")</f>
        <v>48.64</v>
      </c>
      <c r="M217" s="4" cm="1">
        <f t="array" ref="M217">_xll.BDP($A217,"UD_MOMENTUM_RANK")</f>
        <v>51</v>
      </c>
      <c r="N217" s="4" cm="1">
        <f t="array" ref="N217">_xll.BDP($A217,"UD_RISK_PERCENTILE")</f>
        <v>74.150000000000006</v>
      </c>
    </row>
    <row r="218" spans="1:14" x14ac:dyDescent="0.25">
      <c r="A218" t="str">
        <v>PST IM Equity</v>
      </c>
      <c r="B218">
        <v>0.20620691387699999</v>
      </c>
      <c r="C218" s="3" t="str" cm="1">
        <f t="array" ref="C218">_xll.BDP(A218,"GICS_SECTOR_NAME")</f>
        <v>Financials</v>
      </c>
      <c r="D218" s="3" t="str" cm="1">
        <f t="array" ref="D218">_xll.BDP(A218,"GICS_INDUSTRY_NAME")</f>
        <v>Insurance</v>
      </c>
      <c r="E218" s="4" cm="1">
        <f t="array" ref="E218">_xll.BDP($A218,"UD_OVERALL_FACTOR_PERCENTILE")</f>
        <v>54.97</v>
      </c>
      <c r="F218" s="5" cm="1">
        <f t="array" ref="F218">IFERROR(_xll.BDP($A218,"UD_OPERATING_QUALITY_FP"),50)</f>
        <v>65.86</v>
      </c>
      <c r="G218" s="4" cm="1">
        <f t="array" ref="G218">_xll.BDP($A218,"UD_OPERATING_QUALITY_RANK")</f>
        <v>81</v>
      </c>
      <c r="H218" s="4" cm="1">
        <f t="array" ref="H218">_xll.BDP($A218,"UD_GROWTH_PERCENTILE")</f>
        <v>72.05</v>
      </c>
      <c r="I218" s="6" cm="1">
        <f t="array" ref="I218">_xll.BDP($A218,"UD_GROWTH_RANK")</f>
        <v>93</v>
      </c>
      <c r="J218" s="4" cm="1">
        <f t="array" ref="J218">_xll.BDP($A218,"UD_VALUATION_PERCENTILE")</f>
        <v>39.97</v>
      </c>
      <c r="K218" s="4" cm="1">
        <f t="array" ref="K218">_xll.BDP($A218,"UD_VALUATION_RANK")</f>
        <v>29</v>
      </c>
      <c r="L218" s="4" cm="1">
        <f t="array" ref="L218">_xll.BDP($A218,"UD_MOMENTUM_PERCENTILE")</f>
        <v>59.53</v>
      </c>
      <c r="M218" s="4" cm="1">
        <f t="array" ref="M218">_xll.BDP($A218,"UD_MOMENTUM_RANK")</f>
        <v>67</v>
      </c>
      <c r="N218" s="4" cm="1">
        <f t="array" ref="N218">_xll.BDP($A218,"UD_RISK_PERCENTILE")</f>
        <v>72.650000000000006</v>
      </c>
    </row>
    <row r="219" spans="1:14" x14ac:dyDescent="0.25">
      <c r="A219" t="str">
        <v>PUB FP Equity</v>
      </c>
      <c r="B219">
        <v>0.28338744505699998</v>
      </c>
      <c r="C219" s="3" t="str" cm="1">
        <f t="array" ref="C219">_xll.BDP(A219,"GICS_SECTOR_NAME")</f>
        <v>Communication Services</v>
      </c>
      <c r="D219" s="3" t="str" cm="1">
        <f t="array" ref="D219">_xll.BDP(A219,"GICS_INDUSTRY_NAME")</f>
        <v>Media</v>
      </c>
      <c r="E219" s="4" cm="1">
        <f t="array" ref="E219">_xll.BDP($A219,"UD_OVERALL_FACTOR_PERCENTILE")</f>
        <v>54.98</v>
      </c>
      <c r="F219" s="5" cm="1">
        <f t="array" ref="F219">IFERROR(_xll.BDP($A219,"UD_OPERATING_QUALITY_FP"),50)</f>
        <v>78.989999999999995</v>
      </c>
      <c r="G219" s="4" cm="1">
        <f t="array" ref="G219">_xll.BDP($A219,"UD_OPERATING_QUALITY_RANK")</f>
        <v>98</v>
      </c>
      <c r="H219" s="4" cm="1">
        <f t="array" ref="H219">_xll.BDP($A219,"UD_GROWTH_PERCENTILE")</f>
        <v>28.14</v>
      </c>
      <c r="I219" s="6" cm="1">
        <f t="array" ref="I219">_xll.BDP($A219,"UD_GROWTH_RANK")</f>
        <v>7</v>
      </c>
      <c r="J219" s="4" cm="1">
        <f t="array" ref="J219">_xll.BDP($A219,"UD_VALUATION_PERCENTILE")</f>
        <v>43.69</v>
      </c>
      <c r="K219" s="4" cm="1">
        <f t="array" ref="K219">_xll.BDP($A219,"UD_VALUATION_RANK")</f>
        <v>34</v>
      </c>
      <c r="L219" s="4" cm="1">
        <f t="array" ref="L219">_xll.BDP($A219,"UD_MOMENTUM_PERCENTILE")</f>
        <v>42.62</v>
      </c>
      <c r="M219" s="4" cm="1">
        <f t="array" ref="M219">_xll.BDP($A219,"UD_MOMENTUM_RANK")</f>
        <v>30</v>
      </c>
      <c r="N219" s="4" cm="1">
        <f t="array" ref="N219">_xll.BDP($A219,"UD_RISK_PERCENTILE")</f>
        <v>59.14</v>
      </c>
    </row>
    <row r="220" spans="1:14" x14ac:dyDescent="0.25">
      <c r="A220" t="str">
        <v>PUM GY Equity</v>
      </c>
      <c r="B220">
        <v>3.7426832155999998E-2</v>
      </c>
      <c r="C220" s="3" t="str" cm="1">
        <f t="array" ref="C220">_xll.BDP(A220,"GICS_SECTOR_NAME")</f>
        <v>Consumer Discretionary</v>
      </c>
      <c r="D220" s="3" t="str" cm="1">
        <f t="array" ref="D220">_xll.BDP(A220,"GICS_INDUSTRY_NAME")</f>
        <v>Textiles, Apparel &amp; Luxury Goo</v>
      </c>
      <c r="E220" s="4" t="str" cm="1">
        <f t="array" ref="E220">_xll.BDP($A220,"UD_OVERALL_FACTOR_PERCENTILE")</f>
        <v>#N/A Field Not Applicable</v>
      </c>
      <c r="F220" s="5" t="str" cm="1">
        <f t="array" ref="F220">IFERROR(_xll.BDP($A220,"UD_OPERATING_QUALITY_FP"),50)</f>
        <v>#N/A Field Not Applicable</v>
      </c>
      <c r="G220" s="4" t="str" cm="1">
        <f t="array" ref="G220">_xll.BDP($A220,"UD_OPERATING_QUALITY_RANK")</f>
        <v>#N/A Field Not Applicable</v>
      </c>
      <c r="H220" s="4" t="str" cm="1">
        <f t="array" ref="H220">_xll.BDP($A220,"UD_GROWTH_PERCENTILE")</f>
        <v>#N/A Field Not Applicable</v>
      </c>
      <c r="I220" s="6" t="str" cm="1">
        <f t="array" ref="I220">_xll.BDP($A220,"UD_GROWTH_RANK")</f>
        <v>#N/A Field Not Applicable</v>
      </c>
      <c r="J220" s="4" t="str" cm="1">
        <f t="array" ref="J220">_xll.BDP($A220,"UD_VALUATION_PERCENTILE")</f>
        <v>#N/A Field Not Applicable</v>
      </c>
      <c r="K220" s="4" t="str" cm="1">
        <f t="array" ref="K220">_xll.BDP($A220,"UD_VALUATION_RANK")</f>
        <v>#N/A Field Not Applicable</v>
      </c>
      <c r="L220" s="4" t="str" cm="1">
        <f t="array" ref="L220">_xll.BDP($A220,"UD_MOMENTUM_PERCENTILE")</f>
        <v>#N/A Field Not Applicable</v>
      </c>
      <c r="M220" s="4" t="str" cm="1">
        <f t="array" ref="M220">_xll.BDP($A220,"UD_MOMENTUM_RANK")</f>
        <v>#N/A Field Not Applicable</v>
      </c>
      <c r="N220" s="4" t="str" cm="1">
        <f t="array" ref="N220">_xll.BDP($A220,"UD_RISK_PERCENTILE")</f>
        <v>#N/A Field Not Applicable</v>
      </c>
    </row>
    <row r="221" spans="1:14" x14ac:dyDescent="0.25">
      <c r="A221" t="str">
        <v>QIA GY Equity</v>
      </c>
      <c r="B221">
        <v>9.8221597470000005E-2</v>
      </c>
      <c r="C221" s="3" t="str" cm="1">
        <f t="array" ref="C221">_xll.BDP(A221,"GICS_SECTOR_NAME")</f>
        <v>Health Care</v>
      </c>
      <c r="D221" s="3" t="str" cm="1">
        <f t="array" ref="D221">_xll.BDP(A221,"GICS_INDUSTRY_NAME")</f>
        <v>Life Sciences Tools &amp; Services</v>
      </c>
      <c r="E221" s="4" t="str" cm="1">
        <f t="array" ref="E221">_xll.BDP($A221,"UD_OVERALL_FACTOR_PERCENTILE")</f>
        <v>#N/A Field Not Applicable</v>
      </c>
      <c r="F221" s="5" t="str" cm="1">
        <f t="array" ref="F221">IFERROR(_xll.BDP($A221,"UD_OPERATING_QUALITY_FP"),50)</f>
        <v>#N/A Field Not Applicable</v>
      </c>
      <c r="G221" s="4" t="str" cm="1">
        <f t="array" ref="G221">_xll.BDP($A221,"UD_OPERATING_QUALITY_RANK")</f>
        <v>#N/A Field Not Applicable</v>
      </c>
      <c r="H221" s="4" t="str" cm="1">
        <f t="array" ref="H221">_xll.BDP($A221,"UD_GROWTH_PERCENTILE")</f>
        <v>#N/A Field Not Applicable</v>
      </c>
      <c r="I221" s="6" t="str" cm="1">
        <f t="array" ref="I221">_xll.BDP($A221,"UD_GROWTH_RANK")</f>
        <v>#N/A Field Not Applicable</v>
      </c>
      <c r="J221" s="4" t="str" cm="1">
        <f t="array" ref="J221">_xll.BDP($A221,"UD_VALUATION_PERCENTILE")</f>
        <v>#N/A Field Not Applicable</v>
      </c>
      <c r="K221" s="4" t="str" cm="1">
        <f t="array" ref="K221">_xll.BDP($A221,"UD_VALUATION_RANK")</f>
        <v>#N/A Field Not Applicable</v>
      </c>
      <c r="L221" s="4" t="str" cm="1">
        <f t="array" ref="L221">_xll.BDP($A221,"UD_MOMENTUM_PERCENTILE")</f>
        <v>#N/A Field Not Applicable</v>
      </c>
      <c r="M221" s="4" t="str" cm="1">
        <f t="array" ref="M221">_xll.BDP($A221,"UD_MOMENTUM_RANK")</f>
        <v>#N/A Field Not Applicable</v>
      </c>
      <c r="N221" s="4" t="str" cm="1">
        <f t="array" ref="N221">_xll.BDP($A221,"UD_RISK_PERCENTILE")</f>
        <v>#N/A Field Not Applicable</v>
      </c>
    </row>
    <row r="222" spans="1:14" x14ac:dyDescent="0.25">
      <c r="A222" t="str">
        <v>RACE IM Equity</v>
      </c>
      <c r="B222">
        <v>0.46284586759099999</v>
      </c>
      <c r="C222" s="3" t="str" cm="1">
        <f t="array" ref="C222">_xll.BDP(A222,"GICS_SECTOR_NAME")</f>
        <v>Consumer Discretionary</v>
      </c>
      <c r="D222" s="3" t="str" cm="1">
        <f t="array" ref="D222">_xll.BDP(A222,"GICS_INDUSTRY_NAME")</f>
        <v>Automobiles</v>
      </c>
      <c r="E222" s="4" cm="1">
        <f t="array" ref="E222">_xll.BDP($A222,"UD_OVERALL_FACTOR_PERCENTILE")</f>
        <v>39.9</v>
      </c>
      <c r="F222" s="5" cm="1">
        <f t="array" ref="F222">IFERROR(_xll.BDP($A222,"UD_OPERATING_QUALITY_FP"),50)</f>
        <v>64.900000000000006</v>
      </c>
      <c r="G222" s="4" cm="1">
        <f t="array" ref="G222">_xll.BDP($A222,"UD_OPERATING_QUALITY_RANK")</f>
        <v>76</v>
      </c>
      <c r="H222" s="4" cm="1">
        <f t="array" ref="H222">_xll.BDP($A222,"UD_GROWTH_PERCENTILE")</f>
        <v>67.88</v>
      </c>
      <c r="I222" s="6" cm="1">
        <f t="array" ref="I222">_xll.BDP($A222,"UD_GROWTH_RANK")</f>
        <v>87</v>
      </c>
      <c r="J222" s="4" cm="1">
        <f t="array" ref="J222">_xll.BDP($A222,"UD_VALUATION_PERCENTILE")</f>
        <v>10.4</v>
      </c>
      <c r="K222" s="4" cm="1">
        <f t="array" ref="K222">_xll.BDP($A222,"UD_VALUATION_RANK")</f>
        <v>1</v>
      </c>
      <c r="L222" s="4" cm="1">
        <f t="array" ref="L222">_xll.BDP($A222,"UD_MOMENTUM_PERCENTILE")</f>
        <v>45.3</v>
      </c>
      <c r="M222" s="4" cm="1">
        <f t="array" ref="M222">_xll.BDP($A222,"UD_MOMENTUM_RANK")</f>
        <v>46</v>
      </c>
      <c r="N222" s="4" cm="1">
        <f t="array" ref="N222">_xll.BDP($A222,"UD_RISK_PERCENTILE")</f>
        <v>59.01</v>
      </c>
    </row>
    <row r="223" spans="1:14" x14ac:dyDescent="0.25">
      <c r="A223" t="str">
        <v>RAND NA Equity</v>
      </c>
      <c r="B223">
        <v>6.1883644666999998E-2</v>
      </c>
      <c r="C223" s="3" t="str" cm="1">
        <f t="array" ref="C223">_xll.BDP(A223,"GICS_SECTOR_NAME")</f>
        <v>Industrials</v>
      </c>
      <c r="D223" s="3" t="str" cm="1">
        <f t="array" ref="D223">_xll.BDP(A223,"GICS_INDUSTRY_NAME")</f>
        <v>Professional Services</v>
      </c>
      <c r="E223" s="4" cm="1">
        <f t="array" ref="E223">_xll.BDP($A223,"UD_OVERALL_FACTOR_PERCENTILE")</f>
        <v>44.82</v>
      </c>
      <c r="F223" s="5" cm="1">
        <f t="array" ref="F223">IFERROR(_xll.BDP($A223,"UD_OPERATING_QUALITY_FP"),50)</f>
        <v>54.33</v>
      </c>
      <c r="G223" s="4" cm="1">
        <f t="array" ref="G223">_xll.BDP($A223,"UD_OPERATING_QUALITY_RANK")</f>
        <v>46</v>
      </c>
      <c r="H223" s="4" cm="1">
        <f t="array" ref="H223">_xll.BDP($A223,"UD_GROWTH_PERCENTILE")</f>
        <v>39.85</v>
      </c>
      <c r="I223" s="6" cm="1">
        <f t="array" ref="I223">_xll.BDP($A223,"UD_GROWTH_RANK")</f>
        <v>26</v>
      </c>
      <c r="J223" s="4" cm="1">
        <f t="array" ref="J223">_xll.BDP($A223,"UD_VALUATION_PERCENTILE")</f>
        <v>49.88</v>
      </c>
      <c r="K223" s="4" cm="1">
        <f t="array" ref="K223">_xll.BDP($A223,"UD_VALUATION_RANK")</f>
        <v>54</v>
      </c>
      <c r="L223" s="4" cm="1">
        <f t="array" ref="L223">_xll.BDP($A223,"UD_MOMENTUM_PERCENTILE")</f>
        <v>30.11</v>
      </c>
      <c r="M223" s="4" cm="1">
        <f t="array" ref="M223">_xll.BDP($A223,"UD_MOMENTUM_RANK")</f>
        <v>13</v>
      </c>
      <c r="N223" s="4" cm="1">
        <f t="array" ref="N223">_xll.BDP($A223,"UD_RISK_PERCENTILE")</f>
        <v>59.36</v>
      </c>
    </row>
    <row r="224" spans="1:14" x14ac:dyDescent="0.25">
      <c r="A224" t="str">
        <v>RED SM Equity</v>
      </c>
      <c r="B224">
        <v>8.2785024301999993E-2</v>
      </c>
      <c r="C224" s="3" t="str" cm="1">
        <f t="array" ref="C224">_xll.BDP(A224,"GICS_SECTOR_NAME")</f>
        <v>Utilities</v>
      </c>
      <c r="D224" s="3" t="str" cm="1">
        <f t="array" ref="D224">_xll.BDP(A224,"GICS_INDUSTRY_NAME")</f>
        <v>Electric Utilities</v>
      </c>
      <c r="E224" s="4" cm="1">
        <f t="array" ref="E224">_xll.BDP($A224,"UD_OVERALL_FACTOR_PERCENTILE")</f>
        <v>48.91</v>
      </c>
      <c r="F224" s="5" cm="1">
        <f t="array" ref="F224">IFERROR(_xll.BDP($A224,"UD_OPERATING_QUALITY_FP"),50)</f>
        <v>47.44</v>
      </c>
      <c r="G224" s="4" cm="1">
        <f t="array" ref="G224">_xll.BDP($A224,"UD_OPERATING_QUALITY_RANK")</f>
        <v>42</v>
      </c>
      <c r="H224" s="4" cm="1">
        <f t="array" ref="H224">_xll.BDP($A224,"UD_GROWTH_PERCENTILE")</f>
        <v>34.11</v>
      </c>
      <c r="I224" s="6" cm="1">
        <f t="array" ref="I224">_xll.BDP($A224,"UD_GROWTH_RANK")</f>
        <v>15</v>
      </c>
      <c r="J224" s="4" cm="1">
        <f t="array" ref="J224">_xll.BDP($A224,"UD_VALUATION_PERCENTILE")</f>
        <v>52.84</v>
      </c>
      <c r="K224" s="4" cm="1">
        <f t="array" ref="K224">_xll.BDP($A224,"UD_VALUATION_RANK")</f>
        <v>58</v>
      </c>
      <c r="L224" s="4" cm="1">
        <f t="array" ref="L224">_xll.BDP($A224,"UD_MOMENTUM_PERCENTILE")</f>
        <v>46.32</v>
      </c>
      <c r="M224" s="4" cm="1">
        <f t="array" ref="M224">_xll.BDP($A224,"UD_MOMENTUM_RANK")</f>
        <v>5</v>
      </c>
      <c r="N224" s="4" cm="1">
        <f t="array" ref="N224">_xll.BDP($A224,"UD_RISK_PERCENTILE")</f>
        <v>90.78</v>
      </c>
    </row>
    <row r="225" spans="1:14" x14ac:dyDescent="0.25">
      <c r="A225" t="str">
        <v>REL LN Equity</v>
      </c>
      <c r="B225">
        <v>0.91024856686599998</v>
      </c>
      <c r="C225" s="3" t="str" cm="1">
        <f t="array" ref="C225">_xll.BDP(A225,"GICS_SECTOR_NAME")</f>
        <v>Industrials</v>
      </c>
      <c r="D225" s="3" t="str" cm="1">
        <f t="array" ref="D225">_xll.BDP(A225,"GICS_INDUSTRY_NAME")</f>
        <v>Professional Services</v>
      </c>
      <c r="E225" s="4" cm="1">
        <f t="array" ref="E225">_xll.BDP($A225,"UD_OVERALL_FACTOR_PERCENTILE")</f>
        <v>41.87</v>
      </c>
      <c r="F225" s="5" cm="1">
        <f t="array" ref="F225">IFERROR(_xll.BDP($A225,"UD_OPERATING_QUALITY_FP"),50)</f>
        <v>83.67</v>
      </c>
      <c r="G225" s="4" cm="1">
        <f t="array" ref="G225">_xll.BDP($A225,"UD_OPERATING_QUALITY_RANK")</f>
        <v>94</v>
      </c>
      <c r="H225" s="4" cm="1">
        <f t="array" ref="H225">_xll.BDP($A225,"UD_GROWTH_PERCENTILE")</f>
        <v>50.84</v>
      </c>
      <c r="I225" s="6" cm="1">
        <f t="array" ref="I225">_xll.BDP($A225,"UD_GROWTH_RANK")</f>
        <v>52</v>
      </c>
      <c r="J225" s="4" cm="1">
        <f t="array" ref="J225">_xll.BDP($A225,"UD_VALUATION_PERCENTILE")</f>
        <v>11.23</v>
      </c>
      <c r="K225" s="4" cm="1">
        <f t="array" ref="K225">_xll.BDP($A225,"UD_VALUATION_RANK")</f>
        <v>2</v>
      </c>
      <c r="L225" s="4" cm="1">
        <f t="array" ref="L225">_xll.BDP($A225,"UD_MOMENTUM_PERCENTILE")</f>
        <v>31.64</v>
      </c>
      <c r="M225" s="4" cm="1">
        <f t="array" ref="M225">_xll.BDP($A225,"UD_MOMENTUM_RANK")</f>
        <v>16</v>
      </c>
      <c r="N225" s="4" cm="1">
        <f t="array" ref="N225">_xll.BDP($A225,"UD_RISK_PERCENTILE")</f>
        <v>85.03</v>
      </c>
    </row>
    <row r="226" spans="1:14" x14ac:dyDescent="0.25">
      <c r="A226" t="str">
        <v>RF FP Equity</v>
      </c>
      <c r="B226">
        <v>3.2710614591999997E-2</v>
      </c>
      <c r="C226" s="3" t="str" cm="1">
        <f t="array" ref="C226">_xll.BDP(A226,"GICS_SECTOR_NAME")</f>
        <v>Financials</v>
      </c>
      <c r="D226" s="3" t="str" cm="1">
        <f t="array" ref="D226">_xll.BDP(A226,"GICS_INDUSTRY_NAME")</f>
        <v>Financial Services</v>
      </c>
      <c r="E226" s="4" cm="1">
        <f t="array" ref="E226">_xll.BDP($A226,"UD_OVERALL_FACTOR_PERCENTILE")</f>
        <v>27.91</v>
      </c>
      <c r="F226" s="5" cm="1">
        <f t="array" ref="F226">IFERROR(_xll.BDP($A226,"UD_OPERATING_QUALITY_FP"),50)</f>
        <v>10.19</v>
      </c>
      <c r="G226" s="4" cm="1">
        <f t="array" ref="G226">_xll.BDP($A226,"UD_OPERATING_QUALITY_RANK")</f>
        <v>2</v>
      </c>
      <c r="H226" s="4" cm="1">
        <f t="array" ref="H226">_xll.BDP($A226,"UD_GROWTH_PERCENTILE")</f>
        <v>50.46</v>
      </c>
      <c r="I226" s="6" cm="1">
        <f t="array" ref="I226">_xll.BDP($A226,"UD_GROWTH_RANK")</f>
        <v>50</v>
      </c>
      <c r="J226" s="4" cm="1">
        <f t="array" ref="J226">_xll.BDP($A226,"UD_VALUATION_PERCENTILE")</f>
        <v>63.79</v>
      </c>
      <c r="K226" s="4" cm="1">
        <f t="array" ref="K226">_xll.BDP($A226,"UD_VALUATION_RANK")</f>
        <v>88</v>
      </c>
      <c r="L226" s="4" cm="1">
        <f t="array" ref="L226">_xll.BDP($A226,"UD_MOMENTUM_PERCENTILE")</f>
        <v>8.67</v>
      </c>
      <c r="M226" s="4" cm="1">
        <f t="array" ref="M226">_xll.BDP($A226,"UD_MOMENTUM_RANK")</f>
        <v>0</v>
      </c>
      <c r="N226" s="4" cm="1">
        <f t="array" ref="N226">_xll.BDP($A226,"UD_RISK_PERCENTILE")</f>
        <v>27.29</v>
      </c>
    </row>
    <row r="227" spans="1:14" x14ac:dyDescent="0.25">
      <c r="A227" t="str">
        <v>RI FP Equity</v>
      </c>
      <c r="B227">
        <v>6.2421197044000003E-2</v>
      </c>
      <c r="C227" s="3" t="str" cm="1">
        <f t="array" ref="C227">_xll.BDP(A227,"GICS_SECTOR_NAME")</f>
        <v>Consumer Staples</v>
      </c>
      <c r="D227" s="3" t="str" cm="1">
        <f t="array" ref="D227">_xll.BDP(A227,"GICS_INDUSTRY_NAME")</f>
        <v>Beverages</v>
      </c>
      <c r="E227" s="4" cm="1">
        <f t="array" ref="E227">_xll.BDP($A227,"UD_OVERALL_FACTOR_PERCENTILE")</f>
        <v>54.33</v>
      </c>
      <c r="F227" s="5" cm="1">
        <f t="array" ref="F227">IFERROR(_xll.BDP($A227,"UD_OPERATING_QUALITY_FP"),50)</f>
        <v>65.7</v>
      </c>
      <c r="G227" s="4" cm="1">
        <f t="array" ref="G227">_xll.BDP($A227,"UD_OPERATING_QUALITY_RANK")</f>
        <v>68</v>
      </c>
      <c r="H227" s="4" cm="1">
        <f t="array" ref="H227">_xll.BDP($A227,"UD_GROWTH_PERCENTILE")</f>
        <v>45.87</v>
      </c>
      <c r="I227" s="6" cm="1">
        <f t="array" ref="I227">_xll.BDP($A227,"UD_GROWTH_RANK")</f>
        <v>40</v>
      </c>
      <c r="J227" s="4" cm="1">
        <f t="array" ref="J227">_xll.BDP($A227,"UD_VALUATION_PERCENTILE")</f>
        <v>64.23</v>
      </c>
      <c r="K227" s="4" cm="1">
        <f t="array" ref="K227">_xll.BDP($A227,"UD_VALUATION_RANK")</f>
        <v>85</v>
      </c>
      <c r="L227" s="4" cm="1">
        <f t="array" ref="L227">_xll.BDP($A227,"UD_MOMENTUM_PERCENTILE")</f>
        <v>32.76</v>
      </c>
      <c r="M227" s="4" cm="1">
        <f t="array" ref="M227">_xll.BDP($A227,"UD_MOMENTUM_RANK")</f>
        <v>12</v>
      </c>
      <c r="N227" s="4" cm="1">
        <f t="array" ref="N227">_xll.BDP($A227,"UD_RISK_PERCENTILE")</f>
        <v>73.19</v>
      </c>
    </row>
    <row r="228" spans="1:14" x14ac:dyDescent="0.25">
      <c r="A228" t="str">
        <v>RIO LN Equity</v>
      </c>
      <c r="B228">
        <v>0.78124202813499999</v>
      </c>
      <c r="C228" s="3" t="str" cm="1">
        <f t="array" ref="C228">_xll.BDP(A228,"GICS_SECTOR_NAME")</f>
        <v>Materials</v>
      </c>
      <c r="D228" s="3" t="str" cm="1">
        <f t="array" ref="D228">_xll.BDP(A228,"GICS_INDUSTRY_NAME")</f>
        <v>Metals &amp; Mining</v>
      </c>
      <c r="E228" s="4" t="str" cm="1">
        <f t="array" ref="E228">_xll.BDP($A228,"UD_OVERALL_FACTOR_PERCENTILE")</f>
        <v>#N/A Field Not Applicable</v>
      </c>
      <c r="F228" s="5" t="str" cm="1">
        <f t="array" ref="F228">IFERROR(_xll.BDP($A228,"UD_OPERATING_QUALITY_FP"),50)</f>
        <v>#N/A Field Not Applicable</v>
      </c>
      <c r="G228" s="4" t="str" cm="1">
        <f t="array" ref="G228">_xll.BDP($A228,"UD_OPERATING_QUALITY_RANK")</f>
        <v>#N/A Field Not Applicable</v>
      </c>
      <c r="H228" s="4" t="str" cm="1">
        <f t="array" ref="H228">_xll.BDP($A228,"UD_GROWTH_PERCENTILE")</f>
        <v>#N/A Field Not Applicable</v>
      </c>
      <c r="I228" s="6" t="str" cm="1">
        <f t="array" ref="I228">_xll.BDP($A228,"UD_GROWTH_RANK")</f>
        <v>#N/A Field Not Applicable</v>
      </c>
      <c r="J228" s="4" t="str" cm="1">
        <f t="array" ref="J228">_xll.BDP($A228,"UD_VALUATION_PERCENTILE")</f>
        <v>#N/A Field Not Applicable</v>
      </c>
      <c r="K228" s="4" t="str" cm="1">
        <f t="array" ref="K228">_xll.BDP($A228,"UD_VALUATION_RANK")</f>
        <v>#N/A Field Not Applicable</v>
      </c>
      <c r="L228" s="4" t="str" cm="1">
        <f t="array" ref="L228">_xll.BDP($A228,"UD_MOMENTUM_PERCENTILE")</f>
        <v>#N/A Field Not Applicable</v>
      </c>
      <c r="M228" s="4" t="str" cm="1">
        <f t="array" ref="M228">_xll.BDP($A228,"UD_MOMENTUM_RANK")</f>
        <v>#N/A Field Not Applicable</v>
      </c>
      <c r="N228" s="4" t="str" cm="1">
        <f t="array" ref="N228">_xll.BDP($A228,"UD_RISK_PERCENTILE")</f>
        <v>#N/A Field Not Applicable</v>
      </c>
    </row>
    <row r="229" spans="1:14" x14ac:dyDescent="0.25">
      <c r="A229" t="str">
        <v>RKT LN Equity</v>
      </c>
      <c r="B229">
        <v>0.46053106726900001</v>
      </c>
      <c r="C229" s="3" t="str" cm="1">
        <f t="array" ref="C229">_xll.BDP(A229,"GICS_SECTOR_NAME")</f>
        <v>Consumer Staples</v>
      </c>
      <c r="D229" s="3" t="str" cm="1">
        <f t="array" ref="D229">_xll.BDP(A229,"GICS_INDUSTRY_NAME")</f>
        <v>Household Products</v>
      </c>
      <c r="E229" s="4" cm="1">
        <f t="array" ref="E229">_xll.BDP($A229,"UD_OVERALL_FACTOR_PERCENTILE")</f>
        <v>61.62</v>
      </c>
      <c r="F229" s="5" cm="1">
        <f t="array" ref="F229">IFERROR(_xll.BDP($A229,"UD_OPERATING_QUALITY_FP"),50)</f>
        <v>85.43</v>
      </c>
      <c r="G229" s="4" cm="1">
        <f t="array" ref="G229">_xll.BDP($A229,"UD_OPERATING_QUALITY_RANK")</f>
        <v>99</v>
      </c>
      <c r="H229" s="4" cm="1">
        <f t="array" ref="H229">_xll.BDP($A229,"UD_GROWTH_PERCENTILE")</f>
        <v>39.270000000000003</v>
      </c>
      <c r="I229" s="6" cm="1">
        <f t="array" ref="I229">_xll.BDP($A229,"UD_GROWTH_RANK")</f>
        <v>25</v>
      </c>
      <c r="J229" s="4" cm="1">
        <f t="array" ref="J229">_xll.BDP($A229,"UD_VALUATION_PERCENTILE")</f>
        <v>19.059999999999999</v>
      </c>
      <c r="K229" s="4" cm="1">
        <f t="array" ref="K229">_xll.BDP($A229,"UD_VALUATION_RANK")</f>
        <v>8</v>
      </c>
      <c r="L229" s="4" cm="1">
        <f t="array" ref="L229">_xll.BDP($A229,"UD_MOMENTUM_PERCENTILE")</f>
        <v>81.67</v>
      </c>
      <c r="M229" s="4" cm="1">
        <f t="array" ref="M229">_xll.BDP($A229,"UD_MOMENTUM_RANK")</f>
        <v>97</v>
      </c>
      <c r="N229" s="4" cm="1">
        <f t="array" ref="N229">_xll.BDP($A229,"UD_RISK_PERCENTILE")</f>
        <v>84.41</v>
      </c>
    </row>
    <row r="230" spans="1:14" x14ac:dyDescent="0.25">
      <c r="A230" t="str">
        <v>RMS FP Equity</v>
      </c>
      <c r="B230">
        <v>0.78750373202799995</v>
      </c>
      <c r="C230" s="3" t="str" cm="1">
        <f t="array" ref="C230">_xll.BDP(A230,"GICS_SECTOR_NAME")</f>
        <v>Consumer Discretionary</v>
      </c>
      <c r="D230" s="3" t="str" cm="1">
        <f t="array" ref="D230">_xll.BDP(A230,"GICS_INDUSTRY_NAME")</f>
        <v>Textiles, Apparel &amp; Luxury Goo</v>
      </c>
      <c r="E230" s="4" cm="1">
        <f t="array" ref="E230">_xll.BDP($A230,"UD_OVERALL_FACTOR_PERCENTILE")</f>
        <v>41.22</v>
      </c>
      <c r="F230" s="5" cm="1">
        <f t="array" ref="F230">IFERROR(_xll.BDP($A230,"UD_OPERATING_QUALITY_FP"),50)</f>
        <v>78.37</v>
      </c>
      <c r="G230" s="4" cm="1">
        <f t="array" ref="G230">_xll.BDP($A230,"UD_OPERATING_QUALITY_RANK")</f>
        <v>93</v>
      </c>
      <c r="H230" s="4" cm="1">
        <f t="array" ref="H230">_xll.BDP($A230,"UD_GROWTH_PERCENTILE")</f>
        <v>69.959999999999994</v>
      </c>
      <c r="I230" s="6" cm="1">
        <f t="array" ref="I230">_xll.BDP($A230,"UD_GROWTH_RANK")</f>
        <v>89</v>
      </c>
      <c r="J230" s="4" cm="1">
        <f t="array" ref="J230">_xll.BDP($A230,"UD_VALUATION_PERCENTILE")</f>
        <v>10.14</v>
      </c>
      <c r="K230" s="4" cm="1">
        <f t="array" ref="K230">_xll.BDP($A230,"UD_VALUATION_RANK")</f>
        <v>0</v>
      </c>
      <c r="L230" s="4" cm="1">
        <f t="array" ref="L230">_xll.BDP($A230,"UD_MOMENTUM_PERCENTILE")</f>
        <v>36.08</v>
      </c>
      <c r="M230" s="4" cm="1">
        <f t="array" ref="M230">_xll.BDP($A230,"UD_MOMENTUM_RANK")</f>
        <v>24</v>
      </c>
      <c r="N230" s="4" cm="1">
        <f t="array" ref="N230">_xll.BDP($A230,"UD_RISK_PERCENTILE")</f>
        <v>58.76</v>
      </c>
    </row>
    <row r="231" spans="1:14" x14ac:dyDescent="0.25">
      <c r="A231" t="str">
        <v>RNO FP Equity</v>
      </c>
      <c r="B231">
        <v>6.8923454320999999E-2</v>
      </c>
      <c r="C231" s="3" t="str" cm="1">
        <f t="array" ref="C231">_xll.BDP(A231,"GICS_SECTOR_NAME")</f>
        <v>Consumer Discretionary</v>
      </c>
      <c r="D231" s="3" t="str" cm="1">
        <f t="array" ref="D231">_xll.BDP(A231,"GICS_INDUSTRY_NAME")</f>
        <v>Automobiles</v>
      </c>
      <c r="E231" s="4" cm="1">
        <f t="array" ref="E231">_xll.BDP($A231,"UD_OVERALL_FACTOR_PERCENTILE")</f>
        <v>49.26</v>
      </c>
      <c r="F231" s="5" cm="1">
        <f t="array" ref="F231">IFERROR(_xll.BDP($A231,"UD_OPERATING_QUALITY_FP"),50)</f>
        <v>40.96</v>
      </c>
      <c r="G231" s="4" cm="1">
        <f t="array" ref="G231">_xll.BDP($A231,"UD_OPERATING_QUALITY_RANK")</f>
        <v>15</v>
      </c>
      <c r="H231" s="4" cm="1">
        <f t="array" ref="H231">_xll.BDP($A231,"UD_GROWTH_PERCENTILE")</f>
        <v>20.92</v>
      </c>
      <c r="I231" s="6" cm="1">
        <f t="array" ref="I231">_xll.BDP($A231,"UD_GROWTH_RANK")</f>
        <v>2</v>
      </c>
      <c r="J231" s="4" cm="1">
        <f t="array" ref="J231">_xll.BDP($A231,"UD_VALUATION_PERCENTILE")</f>
        <v>87.51</v>
      </c>
      <c r="K231" s="4" cm="1">
        <f t="array" ref="K231">_xll.BDP($A231,"UD_VALUATION_RANK")</f>
        <v>98</v>
      </c>
      <c r="L231" s="4" cm="1">
        <f t="array" ref="L231">_xll.BDP($A231,"UD_MOMENTUM_PERCENTILE")</f>
        <v>18.14</v>
      </c>
      <c r="M231" s="4" cm="1">
        <f t="array" ref="M231">_xll.BDP($A231,"UD_MOMENTUM_RANK")</f>
        <v>6</v>
      </c>
      <c r="N231" s="4" cm="1">
        <f t="array" ref="N231">_xll.BDP($A231,"UD_RISK_PERCENTILE")</f>
        <v>10.61</v>
      </c>
    </row>
    <row r="232" spans="1:14" x14ac:dyDescent="0.25">
      <c r="A232" t="str">
        <v>ROCKB DC Equity</v>
      </c>
      <c r="B232">
        <v>1.8482486122E-2</v>
      </c>
      <c r="C232" s="3" t="str" cm="1">
        <f t="array" ref="C232">_xll.BDP(A232,"GICS_SECTOR_NAME")</f>
        <v>Industrials</v>
      </c>
      <c r="D232" s="3" t="str" cm="1">
        <f t="array" ref="D232">_xll.BDP(A232,"GICS_INDUSTRY_NAME")</f>
        <v>Building Products</v>
      </c>
      <c r="E232" s="4" cm="1">
        <f t="array" ref="E232">_xll.BDP($A232,"UD_OVERALL_FACTOR_PERCENTILE")</f>
        <v>48.15</v>
      </c>
      <c r="F232" s="5" cm="1">
        <f t="array" ref="F232">IFERROR(_xll.BDP($A232,"UD_OPERATING_QUALITY_FP"),50)</f>
        <v>51.88</v>
      </c>
      <c r="G232" s="4" cm="1">
        <f t="array" ref="G232">_xll.BDP($A232,"UD_OPERATING_QUALITY_RANK")</f>
        <v>44</v>
      </c>
      <c r="H232" s="4" cm="1">
        <f t="array" ref="H232">_xll.BDP($A232,"UD_GROWTH_PERCENTILE")</f>
        <v>53.72</v>
      </c>
      <c r="I232" s="6" cm="1">
        <f t="array" ref="I232">_xll.BDP($A232,"UD_GROWTH_RANK")</f>
        <v>59</v>
      </c>
      <c r="J232" s="4" cm="1">
        <f t="array" ref="J232">_xll.BDP($A232,"UD_VALUATION_PERCENTILE")</f>
        <v>59.97</v>
      </c>
      <c r="K232" s="4" cm="1">
        <f t="array" ref="K232">_xll.BDP($A232,"UD_VALUATION_RANK")</f>
        <v>74</v>
      </c>
      <c r="L232" s="4" cm="1">
        <f t="array" ref="L232">_xll.BDP($A232,"UD_MOMENTUM_PERCENTILE")</f>
        <v>32.24</v>
      </c>
      <c r="M232" s="4" cm="1">
        <f t="array" ref="M232">_xll.BDP($A232,"UD_MOMENTUM_RANK")</f>
        <v>17</v>
      </c>
      <c r="N232" s="4" cm="1">
        <f t="array" ref="N232">_xll.BDP($A232,"UD_RISK_PERCENTILE")</f>
        <v>36.17</v>
      </c>
    </row>
    <row r="233" spans="1:14" x14ac:dyDescent="0.25">
      <c r="A233" t="str">
        <v>ROG SW Equity</v>
      </c>
      <c r="B233">
        <v>1.9797185295419999</v>
      </c>
      <c r="C233" s="3" t="str" cm="1">
        <f t="array" ref="C233">_xll.BDP(A233,"GICS_SECTOR_NAME")</f>
        <v>Health Care</v>
      </c>
      <c r="D233" s="3" t="str" cm="1">
        <f t="array" ref="D233">_xll.BDP(A233,"GICS_INDUSTRY_NAME")</f>
        <v>Pharmaceuticals</v>
      </c>
      <c r="E233" s="4" cm="1">
        <f t="array" ref="E233">_xll.BDP($A233,"UD_OVERALL_FACTOR_PERCENTILE")</f>
        <v>61.4</v>
      </c>
      <c r="F233" s="5" cm="1">
        <f t="array" ref="F233">IFERROR(_xll.BDP($A233,"UD_OPERATING_QUALITY_FP"),50)</f>
        <v>63.4</v>
      </c>
      <c r="G233" s="4" cm="1">
        <f t="array" ref="G233">_xll.BDP($A233,"UD_OPERATING_QUALITY_RANK")</f>
        <v>72</v>
      </c>
      <c r="H233" s="4" cm="1">
        <f t="array" ref="H233">_xll.BDP($A233,"UD_GROWTH_PERCENTILE")</f>
        <v>43.4</v>
      </c>
      <c r="I233" s="6" cm="1">
        <f t="array" ref="I233">_xll.BDP($A233,"UD_GROWTH_RANK")</f>
        <v>35</v>
      </c>
      <c r="J233" s="4" cm="1">
        <f t="array" ref="J233">_xll.BDP($A233,"UD_VALUATION_PERCENTILE")</f>
        <v>75.56</v>
      </c>
      <c r="K233" s="4" cm="1">
        <f t="array" ref="K233">_xll.BDP($A233,"UD_VALUATION_RANK")</f>
        <v>92</v>
      </c>
      <c r="L233" s="4" cm="1">
        <f t="array" ref="L233">_xll.BDP($A233,"UD_MOMENTUM_PERCENTILE")</f>
        <v>44.81</v>
      </c>
      <c r="M233" s="4" cm="1">
        <f t="array" ref="M233">_xll.BDP($A233,"UD_MOMENTUM_RANK")</f>
        <v>35</v>
      </c>
      <c r="N233" s="4" cm="1">
        <f t="array" ref="N233">_xll.BDP($A233,"UD_RISK_PERCENTILE")</f>
        <v>81.650000000000006</v>
      </c>
    </row>
    <row r="234" spans="1:14" x14ac:dyDescent="0.25">
      <c r="A234" t="str">
        <v>RTO LN Equity</v>
      </c>
      <c r="B234">
        <v>0.103516218371</v>
      </c>
      <c r="C234" s="3" t="str" cm="1">
        <f t="array" ref="C234">_xll.BDP(A234,"GICS_SECTOR_NAME")</f>
        <v>Industrials</v>
      </c>
      <c r="D234" s="3" t="str" cm="1">
        <f t="array" ref="D234">_xll.BDP(A234,"GICS_INDUSTRY_NAME")</f>
        <v>Commercial Services &amp; Supplies</v>
      </c>
      <c r="E234" s="4" cm="1">
        <f t="array" ref="E234">_xll.BDP($A234,"UD_OVERALL_FACTOR_PERCENTILE")</f>
        <v>44.19</v>
      </c>
      <c r="F234" s="5" cm="1">
        <f t="array" ref="F234">IFERROR(_xll.BDP($A234,"UD_OPERATING_QUALITY_FP"),50)</f>
        <v>81.73</v>
      </c>
      <c r="G234" s="4" cm="1">
        <f t="array" ref="G234">_xll.BDP($A234,"UD_OPERATING_QUALITY_RANK")</f>
        <v>91</v>
      </c>
      <c r="H234" s="4" cm="1">
        <f t="array" ref="H234">_xll.BDP($A234,"UD_GROWTH_PERCENTILE")</f>
        <v>42.08</v>
      </c>
      <c r="I234" s="6" cm="1">
        <f t="array" ref="I234">_xll.BDP($A234,"UD_GROWTH_RANK")</f>
        <v>32</v>
      </c>
      <c r="J234" s="4" cm="1">
        <f t="array" ref="J234">_xll.BDP($A234,"UD_VALUATION_PERCENTILE")</f>
        <v>27.36</v>
      </c>
      <c r="K234" s="4" cm="1">
        <f t="array" ref="K234">_xll.BDP($A234,"UD_VALUATION_RANK")</f>
        <v>22</v>
      </c>
      <c r="L234" s="4" cm="1">
        <f t="array" ref="L234">_xll.BDP($A234,"UD_MOMENTUM_PERCENTILE")</f>
        <v>23.99</v>
      </c>
      <c r="M234" s="4" cm="1">
        <f t="array" ref="M234">_xll.BDP($A234,"UD_MOMENTUM_RANK")</f>
        <v>7</v>
      </c>
      <c r="N234" s="4" cm="1">
        <f t="array" ref="N234">_xll.BDP($A234,"UD_RISK_PERCENTILE")</f>
        <v>60.58</v>
      </c>
    </row>
    <row r="235" spans="1:14" x14ac:dyDescent="0.25">
      <c r="A235" t="str">
        <v>RXL FP Equity</v>
      </c>
      <c r="B235">
        <v>7.1494998040999999E-2</v>
      </c>
      <c r="C235" s="3" t="str" cm="1">
        <f t="array" ref="C235">_xll.BDP(A235,"GICS_SECTOR_NAME")</f>
        <v>Industrials</v>
      </c>
      <c r="D235" s="3" t="str" cm="1">
        <f t="array" ref="D235">_xll.BDP(A235,"GICS_INDUSTRY_NAME")</f>
        <v>Trading Companies &amp; Distributo</v>
      </c>
      <c r="E235" s="4" cm="1">
        <f t="array" ref="E235">_xll.BDP($A235,"UD_OVERALL_FACTOR_PERCENTILE")</f>
        <v>55.06</v>
      </c>
      <c r="F235" s="5" cm="1">
        <f t="array" ref="F235">IFERROR(_xll.BDP($A235,"UD_OPERATING_QUALITY_FP"),50)</f>
        <v>49.78</v>
      </c>
      <c r="G235" s="4" cm="1">
        <f t="array" ref="G235">_xll.BDP($A235,"UD_OPERATING_QUALITY_RANK")</f>
        <v>39</v>
      </c>
      <c r="H235" s="4" cm="1">
        <f t="array" ref="H235">_xll.BDP($A235,"UD_GROWTH_PERCENTILE")</f>
        <v>53.93</v>
      </c>
      <c r="I235" s="6" cm="1">
        <f t="array" ref="I235">_xll.BDP($A235,"UD_GROWTH_RANK")</f>
        <v>59</v>
      </c>
      <c r="J235" s="4" cm="1">
        <f t="array" ref="J235">_xll.BDP($A235,"UD_VALUATION_PERCENTILE")</f>
        <v>66.61</v>
      </c>
      <c r="K235" s="4" cm="1">
        <f t="array" ref="K235">_xll.BDP($A235,"UD_VALUATION_RANK")</f>
        <v>85</v>
      </c>
      <c r="L235" s="4" cm="1">
        <f t="array" ref="L235">_xll.BDP($A235,"UD_MOMENTUM_PERCENTILE")</f>
        <v>48.45</v>
      </c>
      <c r="M235" s="4" cm="1">
        <f t="array" ref="M235">_xll.BDP($A235,"UD_MOMENTUM_RANK")</f>
        <v>45</v>
      </c>
      <c r="N235" s="4" cm="1">
        <f t="array" ref="N235">_xll.BDP($A235,"UD_RISK_PERCENTILE")</f>
        <v>39.86</v>
      </c>
    </row>
    <row r="236" spans="1:14" x14ac:dyDescent="0.25">
      <c r="A236" t="str">
        <v>SAB SM Equity</v>
      </c>
      <c r="B236">
        <v>0.20909910258299999</v>
      </c>
      <c r="C236" s="3" t="str" cm="1">
        <f t="array" ref="C236">_xll.BDP(A236,"GICS_SECTOR_NAME")</f>
        <v>Financials</v>
      </c>
      <c r="D236" s="3" t="str" cm="1">
        <f t="array" ref="D236">_xll.BDP(A236,"GICS_INDUSTRY_NAME")</f>
        <v>Banks</v>
      </c>
      <c r="E236" s="4" cm="1">
        <f t="array" ref="E236">_xll.BDP($A236,"UD_OVERALL_FACTOR_PERCENTILE")</f>
        <v>52.65</v>
      </c>
      <c r="F236" s="5" cm="1">
        <f t="array" ref="F236">IFERROR(_xll.BDP($A236,"UD_OPERATING_QUALITY_FP"),50)</f>
        <v>36.020000000000003</v>
      </c>
      <c r="G236" s="4" cm="1">
        <f t="array" ref="G236">_xll.BDP($A236,"UD_OPERATING_QUALITY_RANK")</f>
        <v>17</v>
      </c>
      <c r="H236" s="4" cm="1">
        <f t="array" ref="H236">_xll.BDP($A236,"UD_GROWTH_PERCENTILE")</f>
        <v>60.86</v>
      </c>
      <c r="I236" s="6" cm="1">
        <f t="array" ref="I236">_xll.BDP($A236,"UD_GROWTH_RANK")</f>
        <v>75</v>
      </c>
      <c r="J236" s="4" cm="1">
        <f t="array" ref="J236">_xll.BDP($A236,"UD_VALUATION_PERCENTILE")</f>
        <v>58.99</v>
      </c>
      <c r="K236" s="4" cm="1">
        <f t="array" ref="K236">_xll.BDP($A236,"UD_VALUATION_RANK")</f>
        <v>83</v>
      </c>
      <c r="L236" s="4" cm="1">
        <f t="array" ref="L236">_xll.BDP($A236,"UD_MOMENTUM_PERCENTILE")</f>
        <v>62.76</v>
      </c>
      <c r="M236" s="4" cm="1">
        <f t="array" ref="M236">_xll.BDP($A236,"UD_MOMENTUM_RANK")</f>
        <v>70</v>
      </c>
      <c r="N236" s="4" cm="1">
        <f t="array" ref="N236">_xll.BDP($A236,"UD_RISK_PERCENTILE")</f>
        <v>36.619999999999997</v>
      </c>
    </row>
    <row r="237" spans="1:14" x14ac:dyDescent="0.25">
      <c r="A237" t="str">
        <v>SAGAB SS Equity</v>
      </c>
      <c r="B237">
        <v>9.1479409999999998E-5</v>
      </c>
      <c r="C237" s="3" t="str" cm="1">
        <f t="array" ref="C237">_xll.BDP(A237,"GICS_SECTOR_NAME")</f>
        <v>Real Estate</v>
      </c>
      <c r="D237" s="3" t="str" cm="1">
        <f t="array" ref="D237">_xll.BDP(A237,"GICS_INDUSTRY_NAME")</f>
        <v>Real Estate Management &amp; Devel</v>
      </c>
      <c r="E237" s="4" t="str" cm="1">
        <f t="array" ref="E237">_xll.BDP($A237,"UD_OVERALL_FACTOR_PERCENTILE")</f>
        <v>#N/A Field Not Applicable</v>
      </c>
      <c r="F237" s="5" t="str" cm="1">
        <f t="array" ref="F237">IFERROR(_xll.BDP($A237,"UD_OPERATING_QUALITY_FP"),50)</f>
        <v>#N/A Field Not Applicable</v>
      </c>
      <c r="G237" s="4" t="str" cm="1">
        <f t="array" ref="G237">_xll.BDP($A237,"UD_OPERATING_QUALITY_RANK")</f>
        <v>#N/A Field Not Applicable</v>
      </c>
      <c r="H237" s="4" t="str" cm="1">
        <f t="array" ref="H237">_xll.BDP($A237,"UD_GROWTH_PERCENTILE")</f>
        <v>#N/A Field Not Applicable</v>
      </c>
      <c r="I237" s="6" t="str" cm="1">
        <f t="array" ref="I237">_xll.BDP($A237,"UD_GROWTH_RANK")</f>
        <v>#N/A Field Not Applicable</v>
      </c>
      <c r="J237" s="4" t="str" cm="1">
        <f t="array" ref="J237">_xll.BDP($A237,"UD_VALUATION_PERCENTILE")</f>
        <v>#N/A Field Not Applicable</v>
      </c>
      <c r="K237" s="4" t="str" cm="1">
        <f t="array" ref="K237">_xll.BDP($A237,"UD_VALUATION_RANK")</f>
        <v>#N/A Field Not Applicable</v>
      </c>
      <c r="L237" s="4" t="str" cm="1">
        <f t="array" ref="L237">_xll.BDP($A237,"UD_MOMENTUM_PERCENTILE")</f>
        <v>#N/A Field Not Applicable</v>
      </c>
      <c r="M237" s="4" t="str" cm="1">
        <f t="array" ref="M237">_xll.BDP($A237,"UD_MOMENTUM_RANK")</f>
        <v>#N/A Field Not Applicable</v>
      </c>
      <c r="N237" s="4" t="str" cm="1">
        <f t="array" ref="N237">_xll.BDP($A237,"UD_RISK_PERCENTILE")</f>
        <v>#N/A Field Not Applicable</v>
      </c>
    </row>
    <row r="238" spans="1:14" x14ac:dyDescent="0.25">
      <c r="A238" t="str">
        <v>SALM NO Equity</v>
      </c>
      <c r="B238">
        <v>4.9016404867999998E-2</v>
      </c>
      <c r="C238" s="3" t="str" cm="1">
        <f t="array" ref="C238">_xll.BDP(A238,"GICS_SECTOR_NAME")</f>
        <v>Consumer Staples</v>
      </c>
      <c r="D238" s="3" t="str" cm="1">
        <f t="array" ref="D238">_xll.BDP(A238,"GICS_INDUSTRY_NAME")</f>
        <v>Food Products</v>
      </c>
      <c r="E238" s="4" t="str" cm="1">
        <f t="array" ref="E238">_xll.BDP($A238,"UD_OVERALL_FACTOR_PERCENTILE")</f>
        <v>#N/A Field Not Applicable</v>
      </c>
      <c r="F238" s="5" t="str" cm="1">
        <f t="array" ref="F238">IFERROR(_xll.BDP($A238,"UD_OPERATING_QUALITY_FP"),50)</f>
        <v>#N/A Field Not Applicable</v>
      </c>
      <c r="G238" s="4" t="str" cm="1">
        <f t="array" ref="G238">_xll.BDP($A238,"UD_OPERATING_QUALITY_RANK")</f>
        <v>#N/A Field Not Applicable</v>
      </c>
      <c r="H238" s="4" t="str" cm="1">
        <f t="array" ref="H238">_xll.BDP($A238,"UD_GROWTH_PERCENTILE")</f>
        <v>#N/A Field Not Applicable</v>
      </c>
      <c r="I238" s="6" t="str" cm="1">
        <f t="array" ref="I238">_xll.BDP($A238,"UD_GROWTH_RANK")</f>
        <v>#N/A Field Not Applicable</v>
      </c>
      <c r="J238" s="4" t="str" cm="1">
        <f t="array" ref="J238">_xll.BDP($A238,"UD_VALUATION_PERCENTILE")</f>
        <v>#N/A Field Not Applicable</v>
      </c>
      <c r="K238" s="4" t="str" cm="1">
        <f t="array" ref="K238">_xll.BDP($A238,"UD_VALUATION_RANK")</f>
        <v>#N/A Field Not Applicable</v>
      </c>
      <c r="L238" s="4" t="str" cm="1">
        <f t="array" ref="L238">_xll.BDP($A238,"UD_MOMENTUM_PERCENTILE")</f>
        <v>#N/A Field Not Applicable</v>
      </c>
      <c r="M238" s="4" t="str" cm="1">
        <f t="array" ref="M238">_xll.BDP($A238,"UD_MOMENTUM_RANK")</f>
        <v>#N/A Field Not Applicable</v>
      </c>
      <c r="N238" s="4" t="str" cm="1">
        <f t="array" ref="N238">_xll.BDP($A238,"UD_RISK_PERCENTILE")</f>
        <v>#N/A Field Not Applicable</v>
      </c>
    </row>
    <row r="239" spans="1:14" x14ac:dyDescent="0.25">
      <c r="A239" t="str">
        <v>SAMPO FH Equity</v>
      </c>
      <c r="B239">
        <v>0.22143933020199999</v>
      </c>
      <c r="C239" s="3" t="str" cm="1">
        <f t="array" ref="C239">_xll.BDP(A239,"GICS_SECTOR_NAME")</f>
        <v>Financials</v>
      </c>
      <c r="D239" s="3" t="str" cm="1">
        <f t="array" ref="D239">_xll.BDP(A239,"GICS_INDUSTRY_NAME")</f>
        <v>Insurance</v>
      </c>
      <c r="E239" s="4" cm="1">
        <f t="array" ref="E239">_xll.BDP($A239,"UD_OVERALL_FACTOR_PERCENTILE")</f>
        <v>47.13</v>
      </c>
      <c r="F239" s="5" cm="1">
        <f t="array" ref="F239">IFERROR(_xll.BDP($A239,"UD_OPERATING_QUALITY_FP"),50)</f>
        <v>74.81</v>
      </c>
      <c r="G239" s="4" cm="1">
        <f t="array" ref="G239">_xll.BDP($A239,"UD_OPERATING_QUALITY_RANK")</f>
        <v>87</v>
      </c>
      <c r="H239" s="4" cm="1">
        <f t="array" ref="H239">_xll.BDP($A239,"UD_GROWTH_PERCENTILE")</f>
        <v>60.33</v>
      </c>
      <c r="I239" s="6" cm="1">
        <f t="array" ref="I239">_xll.BDP($A239,"UD_GROWTH_RANK")</f>
        <v>73</v>
      </c>
      <c r="J239" s="4" cm="1">
        <f t="array" ref="J239">_xll.BDP($A239,"UD_VALUATION_PERCENTILE")</f>
        <v>10.54</v>
      </c>
      <c r="K239" s="4" cm="1">
        <f t="array" ref="K239">_xll.BDP($A239,"UD_VALUATION_RANK")</f>
        <v>2</v>
      </c>
      <c r="L239" s="4" cm="1">
        <f t="array" ref="L239">_xll.BDP($A239,"UD_MOMENTUM_PERCENTILE")</f>
        <v>57.13</v>
      </c>
      <c r="M239" s="4" cm="1">
        <f t="array" ref="M239">_xll.BDP($A239,"UD_MOMENTUM_RANK")</f>
        <v>61</v>
      </c>
      <c r="N239" s="4" cm="1">
        <f t="array" ref="N239">_xll.BDP($A239,"UD_RISK_PERCENTILE")</f>
        <v>89.86</v>
      </c>
    </row>
    <row r="240" spans="1:14" x14ac:dyDescent="0.25">
      <c r="A240" t="str">
        <v>SAN FP Equity</v>
      </c>
      <c r="B240">
        <v>1.0802277842350001</v>
      </c>
      <c r="C240" s="3" t="str" cm="1">
        <f t="array" ref="C240">_xll.BDP(A240,"GICS_SECTOR_NAME")</f>
        <v>Health Care</v>
      </c>
      <c r="D240" s="3" t="str" cm="1">
        <f t="array" ref="D240">_xll.BDP(A240,"GICS_INDUSTRY_NAME")</f>
        <v>Pharmaceuticals</v>
      </c>
      <c r="E240" s="4" cm="1">
        <f t="array" ref="E240">_xll.BDP($A240,"UD_OVERALL_FACTOR_PERCENTILE")</f>
        <v>58.1</v>
      </c>
      <c r="F240" s="5" cm="1">
        <f t="array" ref="F240">IFERROR(_xll.BDP($A240,"UD_OPERATING_QUALITY_FP"),50)</f>
        <v>50.98</v>
      </c>
      <c r="G240" s="4" cm="1">
        <f t="array" ref="G240">_xll.BDP($A240,"UD_OPERATING_QUALITY_RANK")</f>
        <v>46</v>
      </c>
      <c r="H240" s="4" cm="1">
        <f t="array" ref="H240">_xll.BDP($A240,"UD_GROWTH_PERCENTILE")</f>
        <v>38.21</v>
      </c>
      <c r="I240" s="6" cm="1">
        <f t="array" ref="I240">_xll.BDP($A240,"UD_GROWTH_RANK")</f>
        <v>24</v>
      </c>
      <c r="J240" s="4" cm="1">
        <f t="array" ref="J240">_xll.BDP($A240,"UD_VALUATION_PERCENTILE")</f>
        <v>81.13</v>
      </c>
      <c r="K240" s="4" cm="1">
        <f t="array" ref="K240">_xll.BDP($A240,"UD_VALUATION_RANK")</f>
        <v>95</v>
      </c>
      <c r="L240" s="4" cm="1">
        <f t="array" ref="L240">_xll.BDP($A240,"UD_MOMENTUM_PERCENTILE")</f>
        <v>41.49</v>
      </c>
      <c r="M240" s="4" cm="1">
        <f t="array" ref="M240">_xll.BDP($A240,"UD_MOMENTUM_RANK")</f>
        <v>27</v>
      </c>
      <c r="N240" s="4" cm="1">
        <f t="array" ref="N240">_xll.BDP($A240,"UD_RISK_PERCENTILE")</f>
        <v>71.930000000000007</v>
      </c>
    </row>
    <row r="241" spans="1:14" x14ac:dyDescent="0.25">
      <c r="A241" t="str">
        <v>SAN SM Equity</v>
      </c>
      <c r="B241">
        <v>1.2564447535759999</v>
      </c>
      <c r="C241" s="3" t="str" cm="1">
        <f t="array" ref="C241">_xll.BDP(A241,"GICS_SECTOR_NAME")</f>
        <v>Financials</v>
      </c>
      <c r="D241" s="3" t="str" cm="1">
        <f t="array" ref="D241">_xll.BDP(A241,"GICS_INDUSTRY_NAME")</f>
        <v>Banks</v>
      </c>
      <c r="E241" s="4" cm="1">
        <f t="array" ref="E241">_xll.BDP($A241,"UD_OVERALL_FACTOR_PERCENTILE")</f>
        <v>54.43</v>
      </c>
      <c r="F241" s="5" cm="1">
        <f t="array" ref="F241">IFERROR(_xll.BDP($A241,"UD_OPERATING_QUALITY_FP"),50)</f>
        <v>47.46</v>
      </c>
      <c r="G241" s="4" cm="1">
        <f t="array" ref="G241">_xll.BDP($A241,"UD_OPERATING_QUALITY_RANK")</f>
        <v>41</v>
      </c>
      <c r="H241" s="4" cm="1">
        <f t="array" ref="H241">_xll.BDP($A241,"UD_GROWTH_PERCENTILE")</f>
        <v>67.040000000000006</v>
      </c>
      <c r="I241" s="6" cm="1">
        <f t="array" ref="I241">_xll.BDP($A241,"UD_GROWTH_RANK")</f>
        <v>86</v>
      </c>
      <c r="J241" s="4" cm="1">
        <f t="array" ref="J241">_xll.BDP($A241,"UD_VALUATION_PERCENTILE")</f>
        <v>49.52</v>
      </c>
      <c r="K241" s="4" cm="1">
        <f t="array" ref="K241">_xll.BDP($A241,"UD_VALUATION_RANK")</f>
        <v>51</v>
      </c>
      <c r="L241" s="4" cm="1">
        <f t="array" ref="L241">_xll.BDP($A241,"UD_MOMENTUM_PERCENTILE")</f>
        <v>66.45</v>
      </c>
      <c r="M241" s="4" cm="1">
        <f t="array" ref="M241">_xll.BDP($A241,"UD_MOMENTUM_RANK")</f>
        <v>78</v>
      </c>
      <c r="N241" s="4" cm="1">
        <f t="array" ref="N241">_xll.BDP($A241,"UD_RISK_PERCENTILE")</f>
        <v>33.11</v>
      </c>
    </row>
    <row r="242" spans="1:14" x14ac:dyDescent="0.25">
      <c r="A242" t="str">
        <v>SAND SS Equity</v>
      </c>
      <c r="B242">
        <v>0.25843109119000002</v>
      </c>
      <c r="C242" s="3" t="str" cm="1">
        <f t="array" ref="C242">_xll.BDP(A242,"GICS_SECTOR_NAME")</f>
        <v>Industrials</v>
      </c>
      <c r="D242" s="3" t="str" cm="1">
        <f t="array" ref="D242">_xll.BDP(A242,"GICS_INDUSTRY_NAME")</f>
        <v>Machinery</v>
      </c>
      <c r="E242" s="4" cm="1">
        <f t="array" ref="E242">_xll.BDP($A242,"UD_OVERALL_FACTOR_PERCENTILE")</f>
        <v>47.87</v>
      </c>
      <c r="F242" s="5" cm="1">
        <f t="array" ref="F242">IFERROR(_xll.BDP($A242,"UD_OPERATING_QUALITY_FP"),50)</f>
        <v>60.2</v>
      </c>
      <c r="G242" s="4" cm="1">
        <f t="array" ref="G242">_xll.BDP($A242,"UD_OPERATING_QUALITY_RANK")</f>
        <v>57</v>
      </c>
      <c r="H242" s="4" cm="1">
        <f t="array" ref="H242">_xll.BDP($A242,"UD_GROWTH_PERCENTILE")</f>
        <v>46.18</v>
      </c>
      <c r="I242" s="6" cm="1">
        <f t="array" ref="I242">_xll.BDP($A242,"UD_GROWTH_RANK")</f>
        <v>40</v>
      </c>
      <c r="J242" s="4" cm="1">
        <f t="array" ref="J242">_xll.BDP($A242,"UD_VALUATION_PERCENTILE")</f>
        <v>37.549999999999997</v>
      </c>
      <c r="K242" s="4" cm="1">
        <f t="array" ref="K242">_xll.BDP($A242,"UD_VALUATION_RANK")</f>
        <v>36</v>
      </c>
      <c r="L242" s="4" cm="1">
        <f t="array" ref="L242">_xll.BDP($A242,"UD_MOMENTUM_PERCENTILE")</f>
        <v>46.17</v>
      </c>
      <c r="M242" s="4" cm="1">
        <f t="array" ref="M242">_xll.BDP($A242,"UD_MOMENTUM_RANK")</f>
        <v>41</v>
      </c>
      <c r="N242" s="4" cm="1">
        <f t="array" ref="N242">_xll.BDP($A242,"UD_RISK_PERCENTILE")</f>
        <v>54.07</v>
      </c>
    </row>
    <row r="243" spans="1:14" x14ac:dyDescent="0.25">
      <c r="A243" t="str">
        <v>SAP GY Equity</v>
      </c>
      <c r="B243">
        <v>2.3245116732360001</v>
      </c>
      <c r="C243" s="3" t="str" cm="1">
        <f t="array" ref="C243">_xll.BDP(A243,"GICS_SECTOR_NAME")</f>
        <v>Information Technology</v>
      </c>
      <c r="D243" s="3" t="str" cm="1">
        <f t="array" ref="D243">_xll.BDP(A243,"GICS_INDUSTRY_NAME")</f>
        <v>Software</v>
      </c>
      <c r="E243" s="4" cm="1">
        <f t="array" ref="E243">_xll.BDP($A243,"UD_OVERALL_FACTOR_PERCENTILE")</f>
        <v>41.59</v>
      </c>
      <c r="F243" s="5" cm="1">
        <f t="array" ref="F243">IFERROR(_xll.BDP($A243,"UD_OPERATING_QUALITY_FP"),50)</f>
        <v>49.43</v>
      </c>
      <c r="G243" s="4" cm="1">
        <f t="array" ref="G243">_xll.BDP($A243,"UD_OPERATING_QUALITY_RANK")</f>
        <v>34</v>
      </c>
      <c r="H243" s="4" cm="1">
        <f t="array" ref="H243">_xll.BDP($A243,"UD_GROWTH_PERCENTILE")</f>
        <v>70.69</v>
      </c>
      <c r="I243" s="6" cm="1">
        <f t="array" ref="I243">_xll.BDP($A243,"UD_GROWTH_RANK")</f>
        <v>91</v>
      </c>
      <c r="J243" s="4" cm="1">
        <f t="array" ref="J243">_xll.BDP($A243,"UD_VALUATION_PERCENTILE")</f>
        <v>21.34</v>
      </c>
      <c r="K243" s="4" cm="1">
        <f t="array" ref="K243">_xll.BDP($A243,"UD_VALUATION_RANK")</f>
        <v>9</v>
      </c>
      <c r="L243" s="4" cm="1">
        <f t="array" ref="L243">_xll.BDP($A243,"UD_MOMENTUM_PERCENTILE")</f>
        <v>54.61</v>
      </c>
      <c r="M243" s="4" cm="1">
        <f t="array" ref="M243">_xll.BDP($A243,"UD_MOMENTUM_RANK")</f>
        <v>66</v>
      </c>
      <c r="N243" s="4" cm="1">
        <f t="array" ref="N243">_xll.BDP($A243,"UD_RISK_PERCENTILE")</f>
        <v>51.53</v>
      </c>
    </row>
    <row r="244" spans="1:14" x14ac:dyDescent="0.25">
      <c r="A244" t="str">
        <v>SBRY LN Equity</v>
      </c>
      <c r="B244">
        <v>0.12903965128100001</v>
      </c>
      <c r="C244" s="3" t="str" cm="1">
        <f t="array" ref="C244">_xll.BDP(A244,"GICS_SECTOR_NAME")</f>
        <v>Consumer Staples</v>
      </c>
      <c r="D244" s="3" t="str" cm="1">
        <f t="array" ref="D244">_xll.BDP(A244,"GICS_INDUSTRY_NAME")</f>
        <v>Consumer Staples Distribution</v>
      </c>
      <c r="E244" s="4" cm="1">
        <f t="array" ref="E244">_xll.BDP($A244,"UD_OVERALL_FACTOR_PERCENTILE")</f>
        <v>53.87</v>
      </c>
      <c r="F244" s="5" cm="1">
        <f t="array" ref="F244">IFERROR(_xll.BDP($A244,"UD_OPERATING_QUALITY_FP"),50)</f>
        <v>43.79</v>
      </c>
      <c r="G244" s="4" cm="1">
        <f t="array" ref="G244">_xll.BDP($A244,"UD_OPERATING_QUALITY_RANK")</f>
        <v>20</v>
      </c>
      <c r="H244" s="4" cm="1">
        <f t="array" ref="H244">_xll.BDP($A244,"UD_GROWTH_PERCENTILE")</f>
        <v>31.38</v>
      </c>
      <c r="I244" s="6" cm="1">
        <f t="array" ref="I244">_xll.BDP($A244,"UD_GROWTH_RANK")</f>
        <v>10</v>
      </c>
      <c r="J244" s="4" cm="1">
        <f t="array" ref="J244">_xll.BDP($A244,"UD_VALUATION_PERCENTILE")</f>
        <v>60.39</v>
      </c>
      <c r="K244" s="4" cm="1">
        <f t="array" ref="K244">_xll.BDP($A244,"UD_VALUATION_RANK")</f>
        <v>77</v>
      </c>
      <c r="L244" s="4" cm="1">
        <f t="array" ref="L244">_xll.BDP($A244,"UD_MOMENTUM_PERCENTILE")</f>
        <v>57.22</v>
      </c>
      <c r="M244" s="4" cm="1">
        <f t="array" ref="M244">_xll.BDP($A244,"UD_MOMENTUM_RANK")</f>
        <v>75</v>
      </c>
      <c r="N244" s="4" cm="1">
        <f t="array" ref="N244">_xll.BDP($A244,"UD_RISK_PERCENTILE")</f>
        <v>66.61</v>
      </c>
    </row>
    <row r="245" spans="1:14" x14ac:dyDescent="0.25">
      <c r="A245" t="str">
        <v>SCAB SS Equity</v>
      </c>
      <c r="B245">
        <v>0.13351728924600001</v>
      </c>
      <c r="C245" s="3" t="str" cm="1">
        <f t="array" ref="C245">_xll.BDP(A245,"GICS_SECTOR_NAME")</f>
        <v>Materials</v>
      </c>
      <c r="D245" s="3" t="str" cm="1">
        <f t="array" ref="D245">_xll.BDP(A245,"GICS_INDUSTRY_NAME")</f>
        <v>Paper &amp; Forest Products</v>
      </c>
      <c r="E245" s="4" cm="1">
        <f t="array" ref="E245">_xll.BDP($A245,"UD_OVERALL_FACTOR_PERCENTILE")</f>
        <v>42</v>
      </c>
      <c r="F245" s="5" cm="1">
        <f t="array" ref="F245">IFERROR(_xll.BDP($A245,"UD_OPERATING_QUALITY_FP"),50)</f>
        <v>44.36</v>
      </c>
      <c r="G245" s="4" cm="1">
        <f t="array" ref="G245">_xll.BDP($A245,"UD_OPERATING_QUALITY_RANK")</f>
        <v>37</v>
      </c>
      <c r="H245" s="4" cm="1">
        <f t="array" ref="H245">_xll.BDP($A245,"UD_GROWTH_PERCENTILE")</f>
        <v>43.19</v>
      </c>
      <c r="I245" s="6" cm="1">
        <f t="array" ref="I245">_xll.BDP($A245,"UD_GROWTH_RANK")</f>
        <v>34</v>
      </c>
      <c r="J245" s="4" cm="1">
        <f t="array" ref="J245">_xll.BDP($A245,"UD_VALUATION_PERCENTILE")</f>
        <v>30.38</v>
      </c>
      <c r="K245" s="4" cm="1">
        <f t="array" ref="K245">_xll.BDP($A245,"UD_VALUATION_RANK")</f>
        <v>16</v>
      </c>
      <c r="L245" s="4" cm="1">
        <f t="array" ref="L245">_xll.BDP($A245,"UD_MOMENTUM_PERCENTILE")</f>
        <v>51.61</v>
      </c>
      <c r="M245" s="4" cm="1">
        <f t="array" ref="M245">_xll.BDP($A245,"UD_MOMENTUM_RANK")</f>
        <v>58</v>
      </c>
      <c r="N245" s="4" cm="1">
        <f t="array" ref="N245">_xll.BDP($A245,"UD_RISK_PERCENTILE")</f>
        <v>74.959999999999994</v>
      </c>
    </row>
    <row r="246" spans="1:14" x14ac:dyDescent="0.25">
      <c r="A246" t="str">
        <v>SCHP SW Equity</v>
      </c>
      <c r="B246">
        <v>8.8667901487999995E-2</v>
      </c>
      <c r="C246" s="3" t="str" cm="1">
        <f t="array" ref="C246">_xll.BDP(A246,"GICS_SECTOR_NAME")</f>
        <v>Industrials</v>
      </c>
      <c r="D246" s="3" t="str" cm="1">
        <f t="array" ref="D246">_xll.BDP(A246,"GICS_INDUSTRY_NAME")</f>
        <v>Machinery</v>
      </c>
      <c r="E246" s="4" cm="1">
        <f t="array" ref="E246">_xll.BDP($A246,"UD_OVERALL_FACTOR_PERCENTILE")</f>
        <v>48.21</v>
      </c>
      <c r="F246" s="5" cm="1">
        <f t="array" ref="F246">IFERROR(_xll.BDP($A246,"UD_OPERATING_QUALITY_FP"),50)</f>
        <v>71.31</v>
      </c>
      <c r="G246" s="4" cm="1">
        <f t="array" ref="G246">_xll.BDP($A246,"UD_OPERATING_QUALITY_RANK")</f>
        <v>74</v>
      </c>
      <c r="H246" s="4" cm="1">
        <f t="array" ref="H246">_xll.BDP($A246,"UD_GROWTH_PERCENTILE")</f>
        <v>61.74</v>
      </c>
      <c r="I246" s="6" cm="1">
        <f t="array" ref="I246">_xll.BDP($A246,"UD_GROWTH_RANK")</f>
        <v>77</v>
      </c>
      <c r="J246" s="4" cm="1">
        <f t="array" ref="J246">_xll.BDP($A246,"UD_VALUATION_PERCENTILE")</f>
        <v>19.79</v>
      </c>
      <c r="K246" s="4" cm="1">
        <f t="array" ref="K246">_xll.BDP($A246,"UD_VALUATION_RANK")</f>
        <v>10</v>
      </c>
      <c r="L246" s="4" cm="1">
        <f t="array" ref="L246">_xll.BDP($A246,"UD_MOMENTUM_PERCENTILE")</f>
        <v>54.4</v>
      </c>
      <c r="M246" s="4" cm="1">
        <f t="array" ref="M246">_xll.BDP($A246,"UD_MOMENTUM_RANK")</f>
        <v>58</v>
      </c>
      <c r="N246" s="4" cm="1">
        <f t="array" ref="N246">_xll.BDP($A246,"UD_RISK_PERCENTILE")</f>
        <v>80.25</v>
      </c>
    </row>
    <row r="247" spans="1:14" x14ac:dyDescent="0.25">
      <c r="A247" t="str">
        <v>SCMN SW Equity</v>
      </c>
      <c r="B247">
        <v>0.27464862387099997</v>
      </c>
      <c r="C247" s="3" t="str" cm="1">
        <f t="array" ref="C247">_xll.BDP(A247,"GICS_SECTOR_NAME")</f>
        <v>Communication Services</v>
      </c>
      <c r="D247" s="3" t="str" cm="1">
        <f t="array" ref="D247">_xll.BDP(A247,"GICS_INDUSTRY_NAME")</f>
        <v>Diversified Telecommunication</v>
      </c>
      <c r="E247" s="4" cm="1">
        <f t="array" ref="E247">_xll.BDP($A247,"UD_OVERALL_FACTOR_PERCENTILE")</f>
        <v>48.38</v>
      </c>
      <c r="F247" s="5" cm="1">
        <f t="array" ref="F247">IFERROR(_xll.BDP($A247,"UD_OPERATING_QUALITY_FP"),50)</f>
        <v>55.58</v>
      </c>
      <c r="G247" s="4" cm="1">
        <f t="array" ref="G247">_xll.BDP($A247,"UD_OPERATING_QUALITY_RANK")</f>
        <v>51</v>
      </c>
      <c r="H247" s="4" cm="1">
        <f t="array" ref="H247">_xll.BDP($A247,"UD_GROWTH_PERCENTILE")</f>
        <v>48.1</v>
      </c>
      <c r="I247" s="6" cm="1">
        <f t="array" ref="I247">_xll.BDP($A247,"UD_GROWTH_RANK")</f>
        <v>44</v>
      </c>
      <c r="J247" s="4" cm="1">
        <f t="array" ref="J247">_xll.BDP($A247,"UD_VALUATION_PERCENTILE")</f>
        <v>45.39</v>
      </c>
      <c r="K247" s="4" cm="1">
        <f t="array" ref="K247">_xll.BDP($A247,"UD_VALUATION_RANK")</f>
        <v>36</v>
      </c>
      <c r="L247" s="4" cm="1">
        <f t="array" ref="L247">_xll.BDP($A247,"UD_MOMENTUM_PERCENTILE")</f>
        <v>44.26</v>
      </c>
      <c r="M247" s="4" cm="1">
        <f t="array" ref="M247">_xll.BDP($A247,"UD_MOMENTUM_RANK")</f>
        <v>33</v>
      </c>
      <c r="N247" s="4" cm="1">
        <f t="array" ref="N247">_xll.BDP($A247,"UD_RISK_PERCENTILE")</f>
        <v>94.06</v>
      </c>
    </row>
    <row r="248" spans="1:14" x14ac:dyDescent="0.25">
      <c r="A248" t="str">
        <v>SDR LN Equity</v>
      </c>
      <c r="B248">
        <v>5.4164686980000001E-2</v>
      </c>
      <c r="C248" s="3" t="str" cm="1">
        <f t="array" ref="C248">_xll.BDP(A248,"GICS_SECTOR_NAME")</f>
        <v>Financials</v>
      </c>
      <c r="D248" s="3" t="str" cm="1">
        <f t="array" ref="D248">_xll.BDP(A248,"GICS_INDUSTRY_NAME")</f>
        <v>Capital Markets</v>
      </c>
      <c r="E248" s="4" cm="1">
        <f t="array" ref="E248">_xll.BDP($A248,"UD_OVERALL_FACTOR_PERCENTILE")</f>
        <v>57.46</v>
      </c>
      <c r="F248" s="5" cm="1">
        <f t="array" ref="F248">IFERROR(_xll.BDP($A248,"UD_OPERATING_QUALITY_FP"),50)</f>
        <v>49.81</v>
      </c>
      <c r="G248" s="4" cm="1">
        <f t="array" ref="G248">_xll.BDP($A248,"UD_OPERATING_QUALITY_RANK")</f>
        <v>42</v>
      </c>
      <c r="H248" s="4" cm="1">
        <f t="array" ref="H248">_xll.BDP($A248,"UD_GROWTH_PERCENTILE")</f>
        <v>40.56</v>
      </c>
      <c r="I248" s="6" cm="1">
        <f t="array" ref="I248">_xll.BDP($A248,"UD_GROWTH_RANK")</f>
        <v>29</v>
      </c>
      <c r="J248" s="4" cm="1">
        <f t="array" ref="J248">_xll.BDP($A248,"UD_VALUATION_PERCENTILE")</f>
        <v>66.42</v>
      </c>
      <c r="K248" s="4" cm="1">
        <f t="array" ref="K248">_xll.BDP($A248,"UD_VALUATION_RANK")</f>
        <v>74</v>
      </c>
      <c r="L248" s="4" cm="1">
        <f t="array" ref="L248">_xll.BDP($A248,"UD_MOMENTUM_PERCENTILE")</f>
        <v>55.88</v>
      </c>
      <c r="M248" s="4" cm="1">
        <f t="array" ref="M248">_xll.BDP($A248,"UD_MOMENTUM_RANK")</f>
        <v>55</v>
      </c>
      <c r="N248" s="4" cm="1">
        <f t="array" ref="N248">_xll.BDP($A248,"UD_RISK_PERCENTILE")</f>
        <v>50.18</v>
      </c>
    </row>
    <row r="249" spans="1:14" x14ac:dyDescent="0.25">
      <c r="A249" t="str">
        <v>SDZ SW Equity</v>
      </c>
      <c r="B249">
        <v>0.16695886084600001</v>
      </c>
      <c r="C249" s="3" t="str" cm="1">
        <f t="array" ref="C249">_xll.BDP(A249,"GICS_SECTOR_NAME")</f>
        <v>Health Care</v>
      </c>
      <c r="D249" s="3" t="str" cm="1">
        <f t="array" ref="D249">_xll.BDP(A249,"GICS_INDUSTRY_NAME")</f>
        <v>Pharmaceuticals</v>
      </c>
      <c r="E249" s="4" cm="1">
        <f t="array" ref="E249">_xll.BDP($A249,"UD_OVERALL_FACTOR_PERCENTILE")</f>
        <v>55.43</v>
      </c>
      <c r="F249" s="5" cm="1">
        <f t="array" ref="F249">IFERROR(_xll.BDP($A249,"UD_OPERATING_QUALITY_FP"),50)</f>
        <v>49.16</v>
      </c>
      <c r="G249" s="4" cm="1">
        <f t="array" ref="G249">_xll.BDP($A249,"UD_OPERATING_QUALITY_RANK")</f>
        <v>39</v>
      </c>
      <c r="H249" s="4" cm="1">
        <f t="array" ref="H249">_xll.BDP($A249,"UD_GROWTH_PERCENTILE")</f>
        <v>41.78</v>
      </c>
      <c r="I249" s="6" cm="1">
        <f t="array" ref="I249">_xll.BDP($A249,"UD_GROWTH_RANK")</f>
        <v>32</v>
      </c>
      <c r="J249" s="4" cm="1">
        <f t="array" ref="J249">_xll.BDP($A249,"UD_VALUATION_PERCENTILE")</f>
        <v>54.25</v>
      </c>
      <c r="K249" s="4" cm="1">
        <f t="array" ref="K249">_xll.BDP($A249,"UD_VALUATION_RANK")</f>
        <v>59</v>
      </c>
      <c r="L249" s="4" cm="1">
        <f t="array" ref="L249">_xll.BDP($A249,"UD_MOMENTUM_PERCENTILE")</f>
        <v>62.9</v>
      </c>
      <c r="M249" s="4" cm="1">
        <f t="array" ref="M249">_xll.BDP($A249,"UD_MOMENTUM_RANK")</f>
        <v>85</v>
      </c>
      <c r="N249" s="4" cm="1">
        <f t="array" ref="N249">_xll.BDP($A249,"UD_RISK_PERCENTILE")</f>
        <v>55.89</v>
      </c>
    </row>
    <row r="250" spans="1:14" x14ac:dyDescent="0.25">
      <c r="A250" t="str">
        <v>SEBA SS Equity</v>
      </c>
      <c r="B250">
        <v>0.28083610322300001</v>
      </c>
      <c r="C250" s="3" t="str" cm="1">
        <f t="array" ref="C250">_xll.BDP(A250,"GICS_SECTOR_NAME")</f>
        <v>Financials</v>
      </c>
      <c r="D250" s="3" t="str" cm="1">
        <f t="array" ref="D250">_xll.BDP(A250,"GICS_INDUSTRY_NAME")</f>
        <v>Banks</v>
      </c>
      <c r="E250" s="4" cm="1">
        <f t="array" ref="E250">_xll.BDP($A250,"UD_OVERALL_FACTOR_PERCENTILE")</f>
        <v>53.65</v>
      </c>
      <c r="F250" s="5" cm="1">
        <f t="array" ref="F250">IFERROR(_xll.BDP($A250,"UD_OPERATING_QUALITY_FP"),50)</f>
        <v>73.400000000000006</v>
      </c>
      <c r="G250" s="4" cm="1">
        <f t="array" ref="G250">_xll.BDP($A250,"UD_OPERATING_QUALITY_RANK")</f>
        <v>90</v>
      </c>
      <c r="H250" s="4" cm="1">
        <f t="array" ref="H250">_xll.BDP($A250,"UD_GROWTH_PERCENTILE")</f>
        <v>50.97</v>
      </c>
      <c r="I250" s="6" cm="1">
        <f t="array" ref="I250">_xll.BDP($A250,"UD_GROWTH_RANK")</f>
        <v>52</v>
      </c>
      <c r="J250" s="4" cm="1">
        <f t="array" ref="J250">_xll.BDP($A250,"UD_VALUATION_PERCENTILE")</f>
        <v>41.18</v>
      </c>
      <c r="K250" s="4" cm="1">
        <f t="array" ref="K250">_xll.BDP($A250,"UD_VALUATION_RANK")</f>
        <v>35</v>
      </c>
      <c r="L250" s="4" cm="1">
        <f t="array" ref="L250">_xll.BDP($A250,"UD_MOMENTUM_PERCENTILE")</f>
        <v>46.77</v>
      </c>
      <c r="M250" s="4" cm="1">
        <f t="array" ref="M250">_xll.BDP($A250,"UD_MOMENTUM_RANK")</f>
        <v>44</v>
      </c>
      <c r="N250" s="4" cm="1">
        <f t="array" ref="N250">_xll.BDP($A250,"UD_RISK_PERCENTILE")</f>
        <v>86.24</v>
      </c>
    </row>
    <row r="251" spans="1:14" x14ac:dyDescent="0.25">
      <c r="A251" t="str">
        <v>SECUB SS Equity</v>
      </c>
      <c r="B251">
        <v>7.3618446081000002E-2</v>
      </c>
      <c r="C251" s="3" t="str" cm="1">
        <f t="array" ref="C251">_xll.BDP(A251,"GICS_SECTOR_NAME")</f>
        <v>Industrials</v>
      </c>
      <c r="D251" s="3" t="str" cm="1">
        <f t="array" ref="D251">_xll.BDP(A251,"GICS_INDUSTRY_NAME")</f>
        <v>Commercial Services &amp; Supplies</v>
      </c>
      <c r="E251" s="4" cm="1">
        <f t="array" ref="E251">_xll.BDP($A251,"UD_OVERALL_FACTOR_PERCENTILE")</f>
        <v>62.3</v>
      </c>
      <c r="F251" s="5" cm="1">
        <f t="array" ref="F251">IFERROR(_xll.BDP($A251,"UD_OPERATING_QUALITY_FP"),50)</f>
        <v>76.64</v>
      </c>
      <c r="G251" s="4" cm="1">
        <f t="array" ref="G251">_xll.BDP($A251,"UD_OPERATING_QUALITY_RANK")</f>
        <v>84</v>
      </c>
      <c r="H251" s="4" cm="1">
        <f t="array" ref="H251">_xll.BDP($A251,"UD_GROWTH_PERCENTILE")</f>
        <v>59.01</v>
      </c>
      <c r="I251" s="6" cm="1">
        <f t="array" ref="I251">_xll.BDP($A251,"UD_GROWTH_RANK")</f>
        <v>71</v>
      </c>
      <c r="J251" s="4" cm="1">
        <f t="array" ref="J251">_xll.BDP($A251,"UD_VALUATION_PERCENTILE")</f>
        <v>54.36</v>
      </c>
      <c r="K251" s="4" cm="1">
        <f t="array" ref="K251">_xll.BDP($A251,"UD_VALUATION_RANK")</f>
        <v>62</v>
      </c>
      <c r="L251" s="4" cm="1">
        <f t="array" ref="L251">_xll.BDP($A251,"UD_MOMENTUM_PERCENTILE")</f>
        <v>56.13</v>
      </c>
      <c r="M251" s="4" cm="1">
        <f t="array" ref="M251">_xll.BDP($A251,"UD_MOMENTUM_RANK")</f>
        <v>63</v>
      </c>
      <c r="N251" s="4" cm="1">
        <f t="array" ref="N251">_xll.BDP($A251,"UD_RISK_PERCENTILE")</f>
        <v>68.569999999999993</v>
      </c>
    </row>
    <row r="252" spans="1:14" x14ac:dyDescent="0.25">
      <c r="A252" t="str">
        <v>SGE LN Equity</v>
      </c>
      <c r="B252">
        <v>0.29685222507800002</v>
      </c>
      <c r="C252" s="3" t="str" cm="1">
        <f t="array" ref="C252">_xll.BDP(A252,"GICS_SECTOR_NAME")</f>
        <v>Information Technology</v>
      </c>
      <c r="D252" s="3" t="str" cm="1">
        <f t="array" ref="D252">_xll.BDP(A252,"GICS_INDUSTRY_NAME")</f>
        <v>Software</v>
      </c>
      <c r="E252" s="4" cm="1">
        <f t="array" ref="E252">_xll.BDP($A252,"UD_OVERALL_FACTOR_PERCENTILE")</f>
        <v>55.08</v>
      </c>
      <c r="F252" s="5" cm="1">
        <f t="array" ref="F252">IFERROR(_xll.BDP($A252,"UD_OPERATING_QUALITY_FP"),50)</f>
        <v>79.709999999999994</v>
      </c>
      <c r="G252" s="4" cm="1">
        <f t="array" ref="G252">_xll.BDP($A252,"UD_OPERATING_QUALITY_RANK")</f>
        <v>93</v>
      </c>
      <c r="H252" s="4" cm="1">
        <f t="array" ref="H252">_xll.BDP($A252,"UD_GROWTH_PERCENTILE")</f>
        <v>70.760000000000005</v>
      </c>
      <c r="I252" s="6" cm="1">
        <f t="array" ref="I252">_xll.BDP($A252,"UD_GROWTH_RANK")</f>
        <v>91</v>
      </c>
      <c r="J252" s="4" cm="1">
        <f t="array" ref="J252">_xll.BDP($A252,"UD_VALUATION_PERCENTILE")</f>
        <v>34.75</v>
      </c>
      <c r="K252" s="4" cm="1">
        <f t="array" ref="K252">_xll.BDP($A252,"UD_VALUATION_RANK")</f>
        <v>27</v>
      </c>
      <c r="L252" s="4" cm="1">
        <f t="array" ref="L252">_xll.BDP($A252,"UD_MOMENTUM_PERCENTILE")</f>
        <v>51.38</v>
      </c>
      <c r="M252" s="4" cm="1">
        <f t="array" ref="M252">_xll.BDP($A252,"UD_MOMENTUM_RANK")</f>
        <v>60</v>
      </c>
      <c r="N252" s="4" cm="1">
        <f t="array" ref="N252">_xll.BDP($A252,"UD_RISK_PERCENTILE")</f>
        <v>79.84</v>
      </c>
    </row>
    <row r="253" spans="1:14" x14ac:dyDescent="0.25">
      <c r="A253" t="str">
        <v>SGO FP Equity</v>
      </c>
      <c r="B253">
        <v>0.58999370388500005</v>
      </c>
      <c r="C253" s="3" t="str" cm="1">
        <f t="array" ref="C253">_xll.BDP(A253,"GICS_SECTOR_NAME")</f>
        <v>Industrials</v>
      </c>
      <c r="D253" s="3" t="str" cm="1">
        <f t="array" ref="D253">_xll.BDP(A253,"GICS_INDUSTRY_NAME")</f>
        <v>Building Products</v>
      </c>
      <c r="E253" s="4" cm="1">
        <f t="array" ref="E253">_xll.BDP($A253,"UD_OVERALL_FACTOR_PERCENTILE")</f>
        <v>50.97</v>
      </c>
      <c r="F253" s="5" cm="1">
        <f t="array" ref="F253">IFERROR(_xll.BDP($A253,"UD_OPERATING_QUALITY_FP"),50)</f>
        <v>48.98</v>
      </c>
      <c r="G253" s="4" cm="1">
        <f t="array" ref="G253">_xll.BDP($A253,"UD_OPERATING_QUALITY_RANK")</f>
        <v>37</v>
      </c>
      <c r="H253" s="4" cm="1">
        <f t="array" ref="H253">_xll.BDP($A253,"UD_GROWTH_PERCENTILE")</f>
        <v>43.73</v>
      </c>
      <c r="I253" s="6" cm="1">
        <f t="array" ref="I253">_xll.BDP($A253,"UD_GROWTH_RANK")</f>
        <v>36</v>
      </c>
      <c r="J253" s="4" cm="1">
        <f t="array" ref="J253">_xll.BDP($A253,"UD_VALUATION_PERCENTILE")</f>
        <v>54.8</v>
      </c>
      <c r="K253" s="4" cm="1">
        <f t="array" ref="K253">_xll.BDP($A253,"UD_VALUATION_RANK")</f>
        <v>64</v>
      </c>
      <c r="L253" s="4" cm="1">
        <f t="array" ref="L253">_xll.BDP($A253,"UD_MOMENTUM_PERCENTILE")</f>
        <v>49.01</v>
      </c>
      <c r="M253" s="4" cm="1">
        <f t="array" ref="M253">_xll.BDP($A253,"UD_MOMENTUM_RANK")</f>
        <v>47</v>
      </c>
      <c r="N253" s="4" cm="1">
        <f t="array" ref="N253">_xll.BDP($A253,"UD_RISK_PERCENTILE")</f>
        <v>42.35</v>
      </c>
    </row>
    <row r="254" spans="1:14" x14ac:dyDescent="0.25">
      <c r="A254" t="str">
        <v>SGRO LN Equity</v>
      </c>
      <c r="B254">
        <v>4.4924029753E-2</v>
      </c>
      <c r="C254" s="3" t="str" cm="1">
        <f t="array" ref="C254">_xll.BDP(A254,"GICS_SECTOR_NAME")</f>
        <v>Real Estate</v>
      </c>
      <c r="D254" s="3" t="str" cm="1">
        <f t="array" ref="D254">_xll.BDP(A254,"GICS_INDUSTRY_NAME")</f>
        <v>Industrial REITs</v>
      </c>
      <c r="E254" s="4" cm="1">
        <f t="array" ref="E254">_xll.BDP($A254,"UD_OVERALL_FACTOR_PERCENTILE")</f>
        <v>46.25</v>
      </c>
      <c r="F254" s="5" cm="1">
        <f t="array" ref="F254">IFERROR(_xll.BDP($A254,"UD_OPERATING_QUALITY_FP"),50)</f>
        <v>41.12</v>
      </c>
      <c r="G254" s="4" cm="1">
        <f t="array" ref="G254">_xll.BDP($A254,"UD_OPERATING_QUALITY_RANK")</f>
        <v>39</v>
      </c>
      <c r="H254" s="4" cm="1">
        <f t="array" ref="H254">_xll.BDP($A254,"UD_GROWTH_PERCENTILE")</f>
        <v>36.81</v>
      </c>
      <c r="I254" s="6" cm="1">
        <f t="array" ref="I254">_xll.BDP($A254,"UD_GROWTH_RANK")</f>
        <v>20</v>
      </c>
      <c r="J254" s="4" cm="1">
        <f t="array" ref="J254">_xll.BDP($A254,"UD_VALUATION_PERCENTILE")</f>
        <v>58.76</v>
      </c>
      <c r="K254" s="4" cm="1">
        <f t="array" ref="K254">_xll.BDP($A254,"UD_VALUATION_RANK")</f>
        <v>76</v>
      </c>
      <c r="L254" s="4" cm="1">
        <f t="array" ref="L254">_xll.BDP($A254,"UD_MOMENTUM_PERCENTILE")</f>
        <v>38.479999999999997</v>
      </c>
      <c r="M254" s="4" cm="1">
        <f t="array" ref="M254">_xll.BDP($A254,"UD_MOMENTUM_RANK")</f>
        <v>13</v>
      </c>
      <c r="N254" s="4" cm="1">
        <f t="array" ref="N254">_xll.BDP($A254,"UD_RISK_PERCENTILE")</f>
        <v>63.87</v>
      </c>
    </row>
    <row r="255" spans="1:14" x14ac:dyDescent="0.25">
      <c r="A255" t="str">
        <v>SGSN SW Equity</v>
      </c>
      <c r="B255">
        <v>0.13857828576799999</v>
      </c>
      <c r="C255" s="3" t="str" cm="1">
        <f t="array" ref="C255">_xll.BDP(A255,"GICS_SECTOR_NAME")</f>
        <v>Industrials</v>
      </c>
      <c r="D255" s="3" t="str" cm="1">
        <f t="array" ref="D255">_xll.BDP(A255,"GICS_INDUSTRY_NAME")</f>
        <v>Professional Services</v>
      </c>
      <c r="E255" s="4" cm="1">
        <f t="array" ref="E255">_xll.BDP($A255,"UD_OVERALL_FACTOR_PERCENTILE")</f>
        <v>45.85</v>
      </c>
      <c r="F255" s="5" cm="1">
        <f t="array" ref="F255">IFERROR(_xll.BDP($A255,"UD_OPERATING_QUALITY_FP"),50)</f>
        <v>78.91</v>
      </c>
      <c r="G255" s="4" cm="1">
        <f t="array" ref="G255">_xll.BDP($A255,"UD_OPERATING_QUALITY_RANK")</f>
        <v>88</v>
      </c>
      <c r="H255" s="4" cm="1">
        <f t="array" ref="H255">_xll.BDP($A255,"UD_GROWTH_PERCENTILE")</f>
        <v>41.08</v>
      </c>
      <c r="I255" s="6" cm="1">
        <f t="array" ref="I255">_xll.BDP($A255,"UD_GROWTH_RANK")</f>
        <v>30</v>
      </c>
      <c r="J255" s="4" cm="1">
        <f t="array" ref="J255">_xll.BDP($A255,"UD_VALUATION_PERCENTILE")</f>
        <v>23.15</v>
      </c>
      <c r="K255" s="4" cm="1">
        <f t="array" ref="K255">_xll.BDP($A255,"UD_VALUATION_RANK")</f>
        <v>17</v>
      </c>
      <c r="L255" s="4" cm="1">
        <f t="array" ref="L255">_xll.BDP($A255,"UD_MOMENTUM_PERCENTILE")</f>
        <v>36.19</v>
      </c>
      <c r="M255" s="4" cm="1">
        <f t="array" ref="M255">_xll.BDP($A255,"UD_MOMENTUM_RANK")</f>
        <v>23</v>
      </c>
      <c r="N255" s="4" cm="1">
        <f t="array" ref="N255">_xll.BDP($A255,"UD_RISK_PERCENTILE")</f>
        <v>78.150000000000006</v>
      </c>
    </row>
    <row r="256" spans="1:14" x14ac:dyDescent="0.25">
      <c r="A256" t="str">
        <v>SHBA SS Equity</v>
      </c>
      <c r="B256">
        <v>0.30335084786299998</v>
      </c>
      <c r="C256" s="3" t="str" cm="1">
        <f t="array" ref="C256">_xll.BDP(A256,"GICS_SECTOR_NAME")</f>
        <v>Financials</v>
      </c>
      <c r="D256" s="3" t="str" cm="1">
        <f t="array" ref="D256">_xll.BDP(A256,"GICS_INDUSTRY_NAME")</f>
        <v>Banks</v>
      </c>
      <c r="E256" s="4" cm="1">
        <f t="array" ref="E256">_xll.BDP($A256,"UD_OVERALL_FACTOR_PERCENTILE")</f>
        <v>50.79</v>
      </c>
      <c r="F256" s="5" cm="1">
        <f t="array" ref="F256">IFERROR(_xll.BDP($A256,"UD_OPERATING_QUALITY_FP"),50)</f>
        <v>63</v>
      </c>
      <c r="G256" s="4" cm="1">
        <f t="array" ref="G256">_xll.BDP($A256,"UD_OPERATING_QUALITY_RANK")</f>
        <v>78</v>
      </c>
      <c r="H256" s="4" cm="1">
        <f t="array" ref="H256">_xll.BDP($A256,"UD_GROWTH_PERCENTILE")</f>
        <v>44.56</v>
      </c>
      <c r="I256" s="6" cm="1">
        <f t="array" ref="I256">_xll.BDP($A256,"UD_GROWTH_RANK")</f>
        <v>37</v>
      </c>
      <c r="J256" s="4" cm="1">
        <f t="array" ref="J256">_xll.BDP($A256,"UD_VALUATION_PERCENTILE")</f>
        <v>58.02</v>
      </c>
      <c r="K256" s="4" cm="1">
        <f t="array" ref="K256">_xll.BDP($A256,"UD_VALUATION_RANK")</f>
        <v>78</v>
      </c>
      <c r="L256" s="4" cm="1">
        <f t="array" ref="L256">_xll.BDP($A256,"UD_MOMENTUM_PERCENTILE")</f>
        <v>31.14</v>
      </c>
      <c r="M256" s="4" cm="1">
        <f t="array" ref="M256">_xll.BDP($A256,"UD_MOMENTUM_RANK")</f>
        <v>11</v>
      </c>
      <c r="N256" s="4" cm="1">
        <f t="array" ref="N256">_xll.BDP($A256,"UD_RISK_PERCENTILE")</f>
        <v>72.290000000000006</v>
      </c>
    </row>
    <row r="257" spans="1:14" x14ac:dyDescent="0.25">
      <c r="A257" t="str">
        <v>SHL GY Equity</v>
      </c>
      <c r="B257">
        <v>0.128179141715</v>
      </c>
      <c r="C257" s="3" t="str" cm="1">
        <f t="array" ref="C257">_xll.BDP(A257,"GICS_SECTOR_NAME")</f>
        <v>Health Care</v>
      </c>
      <c r="D257" s="3" t="str" cm="1">
        <f t="array" ref="D257">_xll.BDP(A257,"GICS_INDUSTRY_NAME")</f>
        <v>Health Care Equipment &amp; Suppli</v>
      </c>
      <c r="E257" s="4" cm="1">
        <f t="array" ref="E257">_xll.BDP($A257,"UD_OVERALL_FACTOR_PERCENTILE")</f>
        <v>52.39</v>
      </c>
      <c r="F257" s="5" cm="1">
        <f t="array" ref="F257">IFERROR(_xll.BDP($A257,"UD_OPERATING_QUALITY_FP"),50)</f>
        <v>72.400000000000006</v>
      </c>
      <c r="G257" s="4" cm="1">
        <f t="array" ref="G257">_xll.BDP($A257,"UD_OPERATING_QUALITY_RANK")</f>
        <v>91</v>
      </c>
      <c r="H257" s="4" cm="1">
        <f t="array" ref="H257">_xll.BDP($A257,"UD_GROWTH_PERCENTILE")</f>
        <v>49.85</v>
      </c>
      <c r="I257" s="6" cm="1">
        <f t="array" ref="I257">_xll.BDP($A257,"UD_GROWTH_RANK")</f>
        <v>49</v>
      </c>
      <c r="J257" s="4" cm="1">
        <f t="array" ref="J257">_xll.BDP($A257,"UD_VALUATION_PERCENTILE")</f>
        <v>47.79</v>
      </c>
      <c r="K257" s="4" cm="1">
        <f t="array" ref="K257">_xll.BDP($A257,"UD_VALUATION_RANK")</f>
        <v>47</v>
      </c>
      <c r="L257" s="4" cm="1">
        <f t="array" ref="L257">_xll.BDP($A257,"UD_MOMENTUM_PERCENTILE")</f>
        <v>37.119999999999997</v>
      </c>
      <c r="M257" s="4" cm="1">
        <f t="array" ref="M257">_xll.BDP($A257,"UD_MOMENTUM_RANK")</f>
        <v>24</v>
      </c>
      <c r="N257" s="4" cm="1">
        <f t="array" ref="N257">_xll.BDP($A257,"UD_RISK_PERCENTILE")</f>
        <v>78.989999999999995</v>
      </c>
    </row>
    <row r="258" spans="1:14" x14ac:dyDescent="0.25">
      <c r="A258" t="str">
        <v>SIE GY Equity</v>
      </c>
      <c r="B258">
        <v>1.920361666499</v>
      </c>
      <c r="C258" s="3" t="str" cm="1">
        <f t="array" ref="C258">_xll.BDP(A258,"GICS_SECTOR_NAME")</f>
        <v>Industrials</v>
      </c>
      <c r="D258" s="3" t="str" cm="1">
        <f t="array" ref="D258">_xll.BDP(A258,"GICS_INDUSTRY_NAME")</f>
        <v>Industrial Conglomerates</v>
      </c>
      <c r="E258" s="4" cm="1">
        <f t="array" ref="E258">_xll.BDP($A258,"UD_OVERALL_FACTOR_PERCENTILE")</f>
        <v>51.72</v>
      </c>
      <c r="F258" s="5" cm="1">
        <f t="array" ref="F258">IFERROR(_xll.BDP($A258,"UD_OPERATING_QUALITY_FP"),50)</f>
        <v>66.55</v>
      </c>
      <c r="G258" s="4" cm="1">
        <f t="array" ref="G258">_xll.BDP($A258,"UD_OPERATING_QUALITY_RANK")</f>
        <v>66</v>
      </c>
      <c r="H258" s="4" cm="1">
        <f t="array" ref="H258">_xll.BDP($A258,"UD_GROWTH_PERCENTILE")</f>
        <v>43.95</v>
      </c>
      <c r="I258" s="6" cm="1">
        <f t="array" ref="I258">_xll.BDP($A258,"UD_GROWTH_RANK")</f>
        <v>36</v>
      </c>
      <c r="J258" s="4" cm="1">
        <f t="array" ref="J258">_xll.BDP($A258,"UD_VALUATION_PERCENTILE")</f>
        <v>38.24</v>
      </c>
      <c r="K258" s="4" cm="1">
        <f t="array" ref="K258">_xll.BDP($A258,"UD_VALUATION_RANK")</f>
        <v>37</v>
      </c>
      <c r="L258" s="4" cm="1">
        <f t="array" ref="L258">_xll.BDP($A258,"UD_MOMENTUM_PERCENTILE")</f>
        <v>50.79</v>
      </c>
      <c r="M258" s="4" cm="1">
        <f t="array" ref="M258">_xll.BDP($A258,"UD_MOMENTUM_RANK")</f>
        <v>51</v>
      </c>
      <c r="N258" s="4" cm="1">
        <f t="array" ref="N258">_xll.BDP($A258,"UD_RISK_PERCENTILE")</f>
        <v>52.52</v>
      </c>
    </row>
    <row r="259" spans="1:14" x14ac:dyDescent="0.25">
      <c r="A259" t="str">
        <v>SIGN SW Equity</v>
      </c>
      <c r="B259">
        <v>7.2714797085000005E-2</v>
      </c>
      <c r="C259" s="3" t="str" cm="1">
        <f t="array" ref="C259">_xll.BDP(A259,"GICS_SECTOR_NAME")</f>
        <v>Materials</v>
      </c>
      <c r="D259" s="3" t="str" cm="1">
        <f t="array" ref="D259">_xll.BDP(A259,"GICS_INDUSTRY_NAME")</f>
        <v>Containers &amp; Packaging</v>
      </c>
      <c r="E259" s="4" cm="1">
        <f t="array" ref="E259">_xll.BDP($A259,"UD_OVERALL_FACTOR_PERCENTILE")</f>
        <v>53.2</v>
      </c>
      <c r="F259" s="5" cm="1">
        <f t="array" ref="F259">IFERROR(_xll.BDP($A259,"UD_OPERATING_QUALITY_FP"),50)</f>
        <v>92.3</v>
      </c>
      <c r="G259" s="4" cm="1">
        <f t="array" ref="G259">_xll.BDP($A259,"UD_OPERATING_QUALITY_RANK")</f>
        <v>97</v>
      </c>
      <c r="H259" s="4" cm="1">
        <f t="array" ref="H259">_xll.BDP($A259,"UD_GROWTH_PERCENTILE")</f>
        <v>39.93</v>
      </c>
      <c r="I259" s="6" cm="1">
        <f t="array" ref="I259">_xll.BDP($A259,"UD_GROWTH_RANK")</f>
        <v>27</v>
      </c>
      <c r="J259" s="4" cm="1">
        <f t="array" ref="J259">_xll.BDP($A259,"UD_VALUATION_PERCENTILE")</f>
        <v>29.41</v>
      </c>
      <c r="K259" s="4" cm="1">
        <f t="array" ref="K259">_xll.BDP($A259,"UD_VALUATION_RANK")</f>
        <v>15</v>
      </c>
      <c r="L259" s="4" cm="1">
        <f t="array" ref="L259">_xll.BDP($A259,"UD_MOMENTUM_PERCENTILE")</f>
        <v>38.61</v>
      </c>
      <c r="M259" s="4" cm="1">
        <f t="array" ref="M259">_xll.BDP($A259,"UD_MOMENTUM_RANK")</f>
        <v>24</v>
      </c>
      <c r="N259" s="4" cm="1">
        <f t="array" ref="N259">_xll.BDP($A259,"UD_RISK_PERCENTILE")</f>
        <v>58.56</v>
      </c>
    </row>
    <row r="260" spans="1:14" x14ac:dyDescent="0.25">
      <c r="A260" t="str">
        <v>SIKA SW Equity</v>
      </c>
      <c r="B260">
        <v>0.30893838136899998</v>
      </c>
      <c r="C260" s="3" t="str" cm="1">
        <f t="array" ref="C260">_xll.BDP(A260,"GICS_SECTOR_NAME")</f>
        <v>Materials</v>
      </c>
      <c r="D260" s="3" t="str" cm="1">
        <f t="array" ref="D260">_xll.BDP(A260,"GICS_INDUSTRY_NAME")</f>
        <v>Chemicals</v>
      </c>
      <c r="E260" s="4" cm="1">
        <f t="array" ref="E260">_xll.BDP($A260,"UD_OVERALL_FACTOR_PERCENTILE")</f>
        <v>47.06</v>
      </c>
      <c r="F260" s="5" cm="1">
        <f t="array" ref="F260">IFERROR(_xll.BDP($A260,"UD_OPERATING_QUALITY_FP"),50)</f>
        <v>91.31</v>
      </c>
      <c r="G260" s="4" cm="1">
        <f t="array" ref="G260">_xll.BDP($A260,"UD_OPERATING_QUALITY_RANK")</f>
        <v>96</v>
      </c>
      <c r="H260" s="4" cm="1">
        <f t="array" ref="H260">_xll.BDP($A260,"UD_GROWTH_PERCENTILE")</f>
        <v>49.98</v>
      </c>
      <c r="I260" s="6" cm="1">
        <f t="array" ref="I260">_xll.BDP($A260,"UD_GROWTH_RANK")</f>
        <v>49</v>
      </c>
      <c r="J260" s="4" cm="1">
        <f t="array" ref="J260">_xll.BDP($A260,"UD_VALUATION_PERCENTILE")</f>
        <v>20.5</v>
      </c>
      <c r="K260" s="4" cm="1">
        <f t="array" ref="K260">_xll.BDP($A260,"UD_VALUATION_RANK")</f>
        <v>8</v>
      </c>
      <c r="L260" s="4" cm="1">
        <f t="array" ref="L260">_xll.BDP($A260,"UD_MOMENTUM_PERCENTILE")</f>
        <v>30.17</v>
      </c>
      <c r="M260" s="4" cm="1">
        <f t="array" ref="M260">_xll.BDP($A260,"UD_MOMENTUM_RANK")</f>
        <v>5</v>
      </c>
      <c r="N260" s="4" cm="1">
        <f t="array" ref="N260">_xll.BDP($A260,"UD_RISK_PERCENTILE")</f>
        <v>52.44</v>
      </c>
    </row>
    <row r="261" spans="1:14" x14ac:dyDescent="0.25">
      <c r="A261" t="str">
        <v>SKAB SS Equity</v>
      </c>
      <c r="B261">
        <v>0.13650911311</v>
      </c>
      <c r="C261" s="3" t="str" cm="1">
        <f t="array" ref="C261">_xll.BDP(A261,"GICS_SECTOR_NAME")</f>
        <v>Industrials</v>
      </c>
      <c r="D261" s="3" t="str" cm="1">
        <f t="array" ref="D261">_xll.BDP(A261,"GICS_INDUSTRY_NAME")</f>
        <v>Construction &amp; Engineering</v>
      </c>
      <c r="E261" s="4" cm="1">
        <f t="array" ref="E261">_xll.BDP($A261,"UD_OVERALL_FACTOR_PERCENTILE")</f>
        <v>52.64</v>
      </c>
      <c r="F261" s="5" cm="1">
        <f t="array" ref="F261">IFERROR(_xll.BDP($A261,"UD_OPERATING_QUALITY_FP"),50)</f>
        <v>46.26</v>
      </c>
      <c r="G261" s="4" cm="1">
        <f t="array" ref="G261">_xll.BDP($A261,"UD_OPERATING_QUALITY_RANK")</f>
        <v>32</v>
      </c>
      <c r="H261" s="4" cm="1">
        <f t="array" ref="H261">_xll.BDP($A261,"UD_GROWTH_PERCENTILE")</f>
        <v>42.74</v>
      </c>
      <c r="I261" s="6" cm="1">
        <f t="array" ref="I261">_xll.BDP($A261,"UD_GROWTH_RANK")</f>
        <v>33</v>
      </c>
      <c r="J261" s="4" cm="1">
        <f t="array" ref="J261">_xll.BDP($A261,"UD_VALUATION_PERCENTILE")</f>
        <v>57.02</v>
      </c>
      <c r="K261" s="4" cm="1">
        <f t="array" ref="K261">_xll.BDP($A261,"UD_VALUATION_RANK")</f>
        <v>69</v>
      </c>
      <c r="L261" s="4" cm="1">
        <f t="array" ref="L261">_xll.BDP($A261,"UD_MOMENTUM_PERCENTILE")</f>
        <v>54.52</v>
      </c>
      <c r="M261" s="4" cm="1">
        <f t="array" ref="M261">_xll.BDP($A261,"UD_MOMENTUM_RANK")</f>
        <v>59</v>
      </c>
      <c r="N261" s="4" cm="1">
        <f t="array" ref="N261">_xll.BDP($A261,"UD_RISK_PERCENTILE")</f>
        <v>60.58</v>
      </c>
    </row>
    <row r="262" spans="1:14" x14ac:dyDescent="0.25">
      <c r="A262" t="str">
        <v>SKFB SS Equity</v>
      </c>
      <c r="B262">
        <v>0.11577121457300001</v>
      </c>
      <c r="C262" s="3" t="str" cm="1">
        <f t="array" ref="C262">_xll.BDP(A262,"GICS_SECTOR_NAME")</f>
        <v>Industrials</v>
      </c>
      <c r="D262" s="3" t="str" cm="1">
        <f t="array" ref="D262">_xll.BDP(A262,"GICS_INDUSTRY_NAME")</f>
        <v>Machinery</v>
      </c>
      <c r="E262" s="4" cm="1">
        <f t="array" ref="E262">_xll.BDP($A262,"UD_OVERALL_FACTOR_PERCENTILE")</f>
        <v>57.93</v>
      </c>
      <c r="F262" s="5" cm="1">
        <f t="array" ref="F262">IFERROR(_xll.BDP($A262,"UD_OPERATING_QUALITY_FP"),50)</f>
        <v>50.18</v>
      </c>
      <c r="G262" s="4" cm="1">
        <f t="array" ref="G262">_xll.BDP($A262,"UD_OPERATING_QUALITY_RANK")</f>
        <v>40</v>
      </c>
      <c r="H262" s="4" cm="1">
        <f t="array" ref="H262">_xll.BDP($A262,"UD_GROWTH_PERCENTILE")</f>
        <v>46.91</v>
      </c>
      <c r="I262" s="6" cm="1">
        <f t="array" ref="I262">_xll.BDP($A262,"UD_GROWTH_RANK")</f>
        <v>42</v>
      </c>
      <c r="J262" s="4" cm="1">
        <f t="array" ref="J262">_xll.BDP($A262,"UD_VALUATION_PERCENTILE")</f>
        <v>62.74</v>
      </c>
      <c r="K262" s="4" cm="1">
        <f t="array" ref="K262">_xll.BDP($A262,"UD_VALUATION_RANK")</f>
        <v>79</v>
      </c>
      <c r="L262" s="4" cm="1">
        <f t="array" ref="L262">_xll.BDP($A262,"UD_MOMENTUM_PERCENTILE")</f>
        <v>60.73</v>
      </c>
      <c r="M262" s="4" cm="1">
        <f t="array" ref="M262">_xll.BDP($A262,"UD_MOMENTUM_RANK")</f>
        <v>73</v>
      </c>
      <c r="N262" s="4" cm="1">
        <f t="array" ref="N262">_xll.BDP($A262,"UD_RISK_PERCENTILE")</f>
        <v>66.41</v>
      </c>
    </row>
    <row r="263" spans="1:14" x14ac:dyDescent="0.25">
      <c r="A263" t="str">
        <v>SLHN SW Equity</v>
      </c>
      <c r="B263">
        <v>0.14742458349699999</v>
      </c>
      <c r="C263" s="3" t="str" cm="1">
        <f t="array" ref="C263">_xll.BDP(A263,"GICS_SECTOR_NAME")</f>
        <v>Financials</v>
      </c>
      <c r="D263" s="3" t="str" cm="1">
        <f t="array" ref="D263">_xll.BDP(A263,"GICS_INDUSTRY_NAME")</f>
        <v>Insurance</v>
      </c>
      <c r="E263" s="4" cm="1">
        <f t="array" ref="E263">_xll.BDP($A263,"UD_OVERALL_FACTOR_PERCENTILE")</f>
        <v>44.26</v>
      </c>
      <c r="F263" s="5" cm="1">
        <f t="array" ref="F263">IFERROR(_xll.BDP($A263,"UD_OPERATING_QUALITY_FP"),50)</f>
        <v>53.25</v>
      </c>
      <c r="G263" s="4" cm="1">
        <f t="array" ref="G263">_xll.BDP($A263,"UD_OPERATING_QUALITY_RANK")</f>
        <v>41</v>
      </c>
      <c r="H263" s="4" cm="1">
        <f t="array" ref="H263">_xll.BDP($A263,"UD_GROWTH_PERCENTILE")</f>
        <v>52.29</v>
      </c>
      <c r="I263" s="6" cm="1">
        <f t="array" ref="I263">_xll.BDP($A263,"UD_GROWTH_RANK")</f>
        <v>55</v>
      </c>
      <c r="J263" s="4" cm="1">
        <f t="array" ref="J263">_xll.BDP($A263,"UD_VALUATION_PERCENTILE")</f>
        <v>32.78</v>
      </c>
      <c r="K263" s="4" cm="1">
        <f t="array" ref="K263">_xll.BDP($A263,"UD_VALUATION_RANK")</f>
        <v>26</v>
      </c>
      <c r="L263" s="4" cm="1">
        <f t="array" ref="L263">_xll.BDP($A263,"UD_MOMENTUM_PERCENTILE")</f>
        <v>47.11</v>
      </c>
      <c r="M263" s="4" cm="1">
        <f t="array" ref="M263">_xll.BDP($A263,"UD_MOMENTUM_RANK")</f>
        <v>30</v>
      </c>
      <c r="N263" s="4" cm="1">
        <f t="array" ref="N263">_xll.BDP($A263,"UD_RISK_PERCENTILE")</f>
        <v>76.02</v>
      </c>
    </row>
    <row r="264" spans="1:14" x14ac:dyDescent="0.25">
      <c r="A264" t="str">
        <v>SMIN LN Equity</v>
      </c>
      <c r="B264">
        <v>0.37067606192199998</v>
      </c>
      <c r="C264" s="3" t="str" cm="1">
        <f t="array" ref="C264">_xll.BDP(A264,"GICS_SECTOR_NAME")</f>
        <v>Industrials</v>
      </c>
      <c r="D264" s="3" t="str" cm="1">
        <f t="array" ref="D264">_xll.BDP(A264,"GICS_INDUSTRY_NAME")</f>
        <v>Industrial Conglomerates</v>
      </c>
      <c r="E264" s="4" cm="1">
        <f t="array" ref="E264">_xll.BDP($A264,"UD_OVERALL_FACTOR_PERCENTILE")</f>
        <v>50.25</v>
      </c>
      <c r="F264" s="5" cm="1">
        <f t="array" ref="F264">IFERROR(_xll.BDP($A264,"UD_OPERATING_QUALITY_FP"),50)</f>
        <v>73.87</v>
      </c>
      <c r="G264" s="4" cm="1">
        <f t="array" ref="G264">_xll.BDP($A264,"UD_OPERATING_QUALITY_RANK")</f>
        <v>78</v>
      </c>
      <c r="H264" s="4" cm="1">
        <f t="array" ref="H264">_xll.BDP($A264,"UD_GROWTH_PERCENTILE")</f>
        <v>39.85</v>
      </c>
      <c r="I264" s="6" cm="1">
        <f t="array" ref="I264">_xll.BDP($A264,"UD_GROWTH_RANK")</f>
        <v>26</v>
      </c>
      <c r="J264" s="4" cm="1">
        <f t="array" ref="J264">_xll.BDP($A264,"UD_VALUATION_PERCENTILE")</f>
        <v>27.97</v>
      </c>
      <c r="K264" s="4" cm="1">
        <f t="array" ref="K264">_xll.BDP($A264,"UD_VALUATION_RANK")</f>
        <v>23</v>
      </c>
      <c r="L264" s="4" cm="1">
        <f t="array" ref="L264">_xll.BDP($A264,"UD_MOMENTUM_PERCENTILE")</f>
        <v>49.58</v>
      </c>
      <c r="M264" s="4" cm="1">
        <f t="array" ref="M264">_xll.BDP($A264,"UD_MOMENTUM_RANK")</f>
        <v>47</v>
      </c>
      <c r="N264" s="4" cm="1">
        <f t="array" ref="N264">_xll.BDP($A264,"UD_RISK_PERCENTILE")</f>
        <v>77.02</v>
      </c>
    </row>
    <row r="265" spans="1:14" x14ac:dyDescent="0.25">
      <c r="A265" t="str">
        <v>SN/ LN Equity</v>
      </c>
      <c r="B265">
        <v>0.25830184915799997</v>
      </c>
      <c r="C265" s="3" t="str" cm="1">
        <f t="array" ref="C265">_xll.BDP(A265,"GICS_SECTOR_NAME")</f>
        <v>Health Care</v>
      </c>
      <c r="D265" s="3" t="str" cm="1">
        <f t="array" ref="D265">_xll.BDP(A265,"GICS_INDUSTRY_NAME")</f>
        <v>Health Care Equipment &amp; Suppli</v>
      </c>
      <c r="E265" s="4" cm="1">
        <f t="array" ref="E265">_xll.BDP($A265,"UD_OVERALL_FACTOR_PERCENTILE")</f>
        <v>54.33</v>
      </c>
      <c r="F265" s="5" cm="1">
        <f t="array" ref="F265">IFERROR(_xll.BDP($A265,"UD_OPERATING_QUALITY_FP"),50)</f>
        <v>53.83</v>
      </c>
      <c r="G265" s="4" cm="1">
        <f t="array" ref="G265">_xll.BDP($A265,"UD_OPERATING_QUALITY_RANK")</f>
        <v>49</v>
      </c>
      <c r="H265" s="4" cm="1">
        <f t="array" ref="H265">_xll.BDP($A265,"UD_GROWTH_PERCENTILE")</f>
        <v>51.98</v>
      </c>
      <c r="I265" s="6" cm="1">
        <f t="array" ref="I265">_xll.BDP($A265,"UD_GROWTH_RANK")</f>
        <v>54</v>
      </c>
      <c r="J265" s="4" cm="1">
        <f t="array" ref="J265">_xll.BDP($A265,"UD_VALUATION_PERCENTILE")</f>
        <v>49.96</v>
      </c>
      <c r="K265" s="4" cm="1">
        <f t="array" ref="K265">_xll.BDP($A265,"UD_VALUATION_RANK")</f>
        <v>53</v>
      </c>
      <c r="L265" s="4" cm="1">
        <f t="array" ref="L265">_xll.BDP($A265,"UD_MOMENTUM_PERCENTILE")</f>
        <v>59.35</v>
      </c>
      <c r="M265" s="4" cm="1">
        <f t="array" ref="M265">_xll.BDP($A265,"UD_MOMENTUM_RANK")</f>
        <v>81</v>
      </c>
      <c r="N265" s="4" cm="1">
        <f t="array" ref="N265">_xll.BDP($A265,"UD_RISK_PERCENTILE")</f>
        <v>51.18</v>
      </c>
    </row>
    <row r="266" spans="1:14" x14ac:dyDescent="0.25">
      <c r="A266" t="str">
        <v>SOBI SS Equity</v>
      </c>
      <c r="B266">
        <v>7.1345416531999994E-2</v>
      </c>
      <c r="C266" s="3" t="str" cm="1">
        <f t="array" ref="C266">_xll.BDP(A266,"GICS_SECTOR_NAME")</f>
        <v>Health Care</v>
      </c>
      <c r="D266" s="3" t="str" cm="1">
        <f t="array" ref="D266">_xll.BDP(A266,"GICS_INDUSTRY_NAME")</f>
        <v>Biotechnology</v>
      </c>
      <c r="E266" s="4" cm="1">
        <f t="array" ref="E266">_xll.BDP($A266,"UD_OVERALL_FACTOR_PERCENTILE")</f>
        <v>60.74</v>
      </c>
      <c r="F266" s="5" cm="1">
        <f t="array" ref="F266">IFERROR(_xll.BDP($A266,"UD_OPERATING_QUALITY_FP"),50)</f>
        <v>66.36</v>
      </c>
      <c r="G266" s="4" cm="1">
        <f t="array" ref="G266">_xll.BDP($A266,"UD_OPERATING_QUALITY_RANK")</f>
        <v>82</v>
      </c>
      <c r="H266" s="4" cm="1">
        <f t="array" ref="H266">_xll.BDP($A266,"UD_GROWTH_PERCENTILE")</f>
        <v>64.77</v>
      </c>
      <c r="I266" s="6" cm="1">
        <f t="array" ref="I266">_xll.BDP($A266,"UD_GROWTH_RANK")</f>
        <v>81</v>
      </c>
      <c r="J266" s="4" cm="1">
        <f t="array" ref="J266">_xll.BDP($A266,"UD_VALUATION_PERCENTILE")</f>
        <v>67.709999999999994</v>
      </c>
      <c r="K266" s="4" cm="1">
        <f t="array" ref="K266">_xll.BDP($A266,"UD_VALUATION_RANK")</f>
        <v>85</v>
      </c>
      <c r="L266" s="4" cm="1">
        <f t="array" ref="L266">_xll.BDP($A266,"UD_MOMENTUM_PERCENTILE")</f>
        <v>47.94</v>
      </c>
      <c r="M266" s="4" cm="1">
        <f t="array" ref="M266">_xll.BDP($A266,"UD_MOMENTUM_RANK")</f>
        <v>44</v>
      </c>
      <c r="N266" s="4" cm="1">
        <f t="array" ref="N266">_xll.BDP($A266,"UD_RISK_PERCENTILE")</f>
        <v>60.6</v>
      </c>
    </row>
    <row r="267" spans="1:14" x14ac:dyDescent="0.25">
      <c r="A267" t="str">
        <v>SOON SW Equity</v>
      </c>
      <c r="B267">
        <v>0.158529406008</v>
      </c>
      <c r="C267" s="3" t="str" cm="1">
        <f t="array" ref="C267">_xll.BDP(A267,"GICS_SECTOR_NAME")</f>
        <v>Health Care</v>
      </c>
      <c r="D267" s="3" t="str" cm="1">
        <f t="array" ref="D267">_xll.BDP(A267,"GICS_INDUSTRY_NAME")</f>
        <v>Health Care Equipment &amp; Suppli</v>
      </c>
      <c r="E267" s="4" cm="1">
        <f t="array" ref="E267">_xll.BDP($A267,"UD_OVERALL_FACTOR_PERCENTILE")</f>
        <v>49.9</v>
      </c>
      <c r="F267" s="5" cm="1">
        <f t="array" ref="F267">IFERROR(_xll.BDP($A267,"UD_OPERATING_QUALITY_FP"),50)</f>
        <v>70.52</v>
      </c>
      <c r="G267" s="4" cm="1">
        <f t="array" ref="G267">_xll.BDP($A267,"UD_OPERATING_QUALITY_RANK")</f>
        <v>89</v>
      </c>
      <c r="H267" s="4" cm="1">
        <f t="array" ref="H267">_xll.BDP($A267,"UD_GROWTH_PERCENTILE")</f>
        <v>46.39</v>
      </c>
      <c r="I267" s="6" cm="1">
        <f t="array" ref="I267">_xll.BDP($A267,"UD_GROWTH_RANK")</f>
        <v>41</v>
      </c>
      <c r="J267" s="4" cm="1">
        <f t="array" ref="J267">_xll.BDP($A267,"UD_VALUATION_PERCENTILE")</f>
        <v>38.020000000000003</v>
      </c>
      <c r="K267" s="4" cm="1">
        <f t="array" ref="K267">_xll.BDP($A267,"UD_VALUATION_RANK")</f>
        <v>26</v>
      </c>
      <c r="L267" s="4" cm="1">
        <f t="array" ref="L267">_xll.BDP($A267,"UD_MOMENTUM_PERCENTILE")</f>
        <v>41.52</v>
      </c>
      <c r="M267" s="4" cm="1">
        <f t="array" ref="M267">_xll.BDP($A267,"UD_MOMENTUM_RANK")</f>
        <v>28</v>
      </c>
      <c r="N267" s="4" cm="1">
        <f t="array" ref="N267">_xll.BDP($A267,"UD_RISK_PERCENTILE")</f>
        <v>55.54</v>
      </c>
    </row>
    <row r="268" spans="1:14" x14ac:dyDescent="0.25">
      <c r="A268" t="str">
        <v>SPX LN Equity</v>
      </c>
      <c r="B268">
        <v>6.6819268648999994E-2</v>
      </c>
      <c r="C268" s="3" t="str" cm="1">
        <f t="array" ref="C268">_xll.BDP(A268,"GICS_SECTOR_NAME")</f>
        <v>Industrials</v>
      </c>
      <c r="D268" s="3" t="str" cm="1">
        <f t="array" ref="D268">_xll.BDP(A268,"GICS_INDUSTRY_NAME")</f>
        <v>Machinery</v>
      </c>
      <c r="E268" s="4" cm="1">
        <f t="array" ref="E268">_xll.BDP($A268,"UD_OVERALL_FACTOR_PERCENTILE")</f>
        <v>51.16</v>
      </c>
      <c r="F268" s="5" cm="1">
        <f t="array" ref="F268">IFERROR(_xll.BDP($A268,"UD_OPERATING_QUALITY_FP"),50)</f>
        <v>76.540000000000006</v>
      </c>
      <c r="G268" s="4" cm="1">
        <f t="array" ref="G268">_xll.BDP($A268,"UD_OPERATING_QUALITY_RANK")</f>
        <v>83</v>
      </c>
      <c r="H268" s="4" cm="1">
        <f t="array" ref="H268">_xll.BDP($A268,"UD_GROWTH_PERCENTILE")</f>
        <v>57.75</v>
      </c>
      <c r="I268" s="6" cm="1">
        <f t="array" ref="I268">_xll.BDP($A268,"UD_GROWTH_RANK")</f>
        <v>68</v>
      </c>
      <c r="J268" s="4" cm="1">
        <f t="array" ref="J268">_xll.BDP($A268,"UD_VALUATION_PERCENTILE")</f>
        <v>30.82</v>
      </c>
      <c r="K268" s="4" cm="1">
        <f t="array" ref="K268">_xll.BDP($A268,"UD_VALUATION_RANK")</f>
        <v>28</v>
      </c>
      <c r="L268" s="4" cm="1">
        <f t="array" ref="L268">_xll.BDP($A268,"UD_MOMENTUM_PERCENTILE")</f>
        <v>46.74</v>
      </c>
      <c r="M268" s="4" cm="1">
        <f t="array" ref="M268">_xll.BDP($A268,"UD_MOMENTUM_RANK")</f>
        <v>42</v>
      </c>
      <c r="N268" s="4" cm="1">
        <f t="array" ref="N268">_xll.BDP($A268,"UD_RISK_PERCENTILE")</f>
        <v>41.85</v>
      </c>
    </row>
    <row r="269" spans="1:14" x14ac:dyDescent="0.25">
      <c r="A269" t="str">
        <v>SREN SW Equity</v>
      </c>
      <c r="B269">
        <v>0.52088809326899999</v>
      </c>
      <c r="C269" s="3" t="str" cm="1">
        <f t="array" ref="C269">_xll.BDP(A269,"GICS_SECTOR_NAME")</f>
        <v>Financials</v>
      </c>
      <c r="D269" s="3" t="str" cm="1">
        <f t="array" ref="D269">_xll.BDP(A269,"GICS_INDUSTRY_NAME")</f>
        <v>Insurance</v>
      </c>
      <c r="E269" s="4" cm="1">
        <f t="array" ref="E269">_xll.BDP($A269,"UD_OVERALL_FACTOR_PERCENTILE")</f>
        <v>47.24</v>
      </c>
      <c r="F269" s="5" cm="1">
        <f t="array" ref="F269">IFERROR(_xll.BDP($A269,"UD_OPERATING_QUALITY_FP"),50)</f>
        <v>30.68</v>
      </c>
      <c r="G269" s="4" cm="1">
        <f t="array" ref="G269">_xll.BDP($A269,"UD_OPERATING_QUALITY_RANK")</f>
        <v>4</v>
      </c>
      <c r="H269" s="4" cm="1">
        <f t="array" ref="H269">_xll.BDP($A269,"UD_GROWTH_PERCENTILE")</f>
        <v>70.77</v>
      </c>
      <c r="I269" s="6" cm="1">
        <f t="array" ref="I269">_xll.BDP($A269,"UD_GROWTH_RANK")</f>
        <v>91</v>
      </c>
      <c r="J269" s="4" cm="1">
        <f t="array" ref="J269">_xll.BDP($A269,"UD_VALUATION_PERCENTILE")</f>
        <v>54.29</v>
      </c>
      <c r="K269" s="4" cm="1">
        <f t="array" ref="K269">_xll.BDP($A269,"UD_VALUATION_RANK")</f>
        <v>65</v>
      </c>
      <c r="L269" s="4" cm="1">
        <f t="array" ref="L269">_xll.BDP($A269,"UD_MOMENTUM_PERCENTILE")</f>
        <v>56.55</v>
      </c>
      <c r="M269" s="4" cm="1">
        <f t="array" ref="M269">_xll.BDP($A269,"UD_MOMENTUM_RANK")</f>
        <v>59</v>
      </c>
      <c r="N269" s="4" cm="1">
        <f t="array" ref="N269">_xll.BDP($A269,"UD_RISK_PERCENTILE")</f>
        <v>77.45</v>
      </c>
    </row>
    <row r="270" spans="1:14" x14ac:dyDescent="0.25">
      <c r="A270" t="str">
        <v>SRG IM Equity</v>
      </c>
      <c r="B270">
        <v>7.9268602485999998E-2</v>
      </c>
      <c r="C270" s="3" t="str" cm="1">
        <f t="array" ref="C270">_xll.BDP(A270,"GICS_SECTOR_NAME")</f>
        <v>Utilities</v>
      </c>
      <c r="D270" s="3" t="str" cm="1">
        <f t="array" ref="D270">_xll.BDP(A270,"GICS_INDUSTRY_NAME")</f>
        <v>Gas Utilities</v>
      </c>
      <c r="E270" s="4" cm="1">
        <f t="array" ref="E270">_xll.BDP($A270,"UD_OVERALL_FACTOR_PERCENTILE")</f>
        <v>52.14</v>
      </c>
      <c r="F270" s="5" cm="1">
        <f t="array" ref="F270">IFERROR(_xll.BDP($A270,"UD_OPERATING_QUALITY_FP"),50)</f>
        <v>59.46</v>
      </c>
      <c r="G270" s="4" cm="1">
        <f t="array" ref="G270">_xll.BDP($A270,"UD_OPERATING_QUALITY_RANK")</f>
        <v>68</v>
      </c>
      <c r="H270" s="4" cm="1">
        <f t="array" ref="H270">_xll.BDP($A270,"UD_GROWTH_PERCENTILE")</f>
        <v>49.99</v>
      </c>
      <c r="I270" s="6" cm="1">
        <f t="array" ref="I270">_xll.BDP($A270,"UD_GROWTH_RANK")</f>
        <v>49</v>
      </c>
      <c r="J270" s="4" cm="1">
        <f t="array" ref="J270">_xll.BDP($A270,"UD_VALUATION_PERCENTILE")</f>
        <v>45.61</v>
      </c>
      <c r="K270" s="4" cm="1">
        <f t="array" ref="K270">_xll.BDP($A270,"UD_VALUATION_RANK")</f>
        <v>26</v>
      </c>
      <c r="L270" s="4" cm="1">
        <f t="array" ref="L270">_xll.BDP($A270,"UD_MOMENTUM_PERCENTILE")</f>
        <v>51.54</v>
      </c>
      <c r="M270" s="4" cm="1">
        <f t="array" ref="M270">_xll.BDP($A270,"UD_MOMENTUM_RANK")</f>
        <v>63</v>
      </c>
      <c r="N270" s="4" cm="1">
        <f t="array" ref="N270">_xll.BDP($A270,"UD_RISK_PERCENTILE")</f>
        <v>91.46</v>
      </c>
    </row>
    <row r="271" spans="1:14" x14ac:dyDescent="0.25">
      <c r="A271" t="str">
        <v>SRT3 GY Equity</v>
      </c>
      <c r="B271">
        <v>2.6462341265000001E-2</v>
      </c>
      <c r="C271" s="3" t="str" cm="1">
        <f t="array" ref="C271">_xll.BDP(A271,"GICS_SECTOR_NAME")</f>
        <v>Health Care</v>
      </c>
      <c r="D271" s="3" t="str" cm="1">
        <f t="array" ref="D271">_xll.BDP(A271,"GICS_INDUSTRY_NAME")</f>
        <v>Life Sciences Tools &amp; Services</v>
      </c>
      <c r="E271" s="4" cm="1">
        <f t="array" ref="E271">_xll.BDP($A271,"UD_OVERALL_FACTOR_PERCENTILE")</f>
        <v>39.97</v>
      </c>
      <c r="F271" s="5" cm="1">
        <f t="array" ref="F271">IFERROR(_xll.BDP($A271,"UD_OPERATING_QUALITY_FP"),50)</f>
        <v>47.06</v>
      </c>
      <c r="G271" s="4" cm="1">
        <f t="array" ref="G271">_xll.BDP($A271,"UD_OPERATING_QUALITY_RANK")</f>
        <v>32</v>
      </c>
      <c r="H271" s="4" cm="1">
        <f t="array" ref="H271">_xll.BDP($A271,"UD_GROWTH_PERCENTILE")</f>
        <v>63.98</v>
      </c>
      <c r="I271" s="6" cm="1">
        <f t="array" ref="I271">_xll.BDP($A271,"UD_GROWTH_RANK")</f>
        <v>80</v>
      </c>
      <c r="J271" s="4" cm="1">
        <f t="array" ref="J271">_xll.BDP($A271,"UD_VALUATION_PERCENTILE")</f>
        <v>28.93</v>
      </c>
      <c r="K271" s="4" cm="1">
        <f t="array" ref="K271">_xll.BDP($A271,"UD_VALUATION_RANK")</f>
        <v>12</v>
      </c>
      <c r="L271" s="4" cm="1">
        <f t="array" ref="L271">_xll.BDP($A271,"UD_MOMENTUM_PERCENTILE")</f>
        <v>44.25</v>
      </c>
      <c r="M271" s="4" cm="1">
        <f t="array" ref="M271">_xll.BDP($A271,"UD_MOMENTUM_RANK")</f>
        <v>33</v>
      </c>
      <c r="N271" s="4" cm="1">
        <f t="array" ref="N271">_xll.BDP($A271,"UD_RISK_PERCENTILE")</f>
        <v>31.91</v>
      </c>
    </row>
    <row r="272" spans="1:14" x14ac:dyDescent="0.25">
      <c r="A272" t="str">
        <v>SSE LN Equity</v>
      </c>
      <c r="B272">
        <v>0.274400716436</v>
      </c>
      <c r="C272" s="3" t="str" cm="1">
        <f t="array" ref="C272">_xll.BDP(A272,"GICS_SECTOR_NAME")</f>
        <v>Utilities</v>
      </c>
      <c r="D272" s="3" t="str" cm="1">
        <f t="array" ref="D272">_xll.BDP(A272,"GICS_INDUSTRY_NAME")</f>
        <v>Electric Utilities</v>
      </c>
      <c r="E272" s="4" cm="1">
        <f t="array" ref="E272">_xll.BDP($A272,"UD_OVERALL_FACTOR_PERCENTILE")</f>
        <v>45.45</v>
      </c>
      <c r="F272" s="5" cm="1">
        <f t="array" ref="F272">IFERROR(_xll.BDP($A272,"UD_OPERATING_QUALITY_FP"),50)</f>
        <v>49.6</v>
      </c>
      <c r="G272" s="4" cm="1">
        <f t="array" ref="G272">_xll.BDP($A272,"UD_OPERATING_QUALITY_RANK")</f>
        <v>45</v>
      </c>
      <c r="H272" s="4" cm="1">
        <f t="array" ref="H272">_xll.BDP($A272,"UD_GROWTH_PERCENTILE")</f>
        <v>41.28</v>
      </c>
      <c r="I272" s="6" cm="1">
        <f t="array" ref="I272">_xll.BDP($A272,"UD_GROWTH_RANK")</f>
        <v>31</v>
      </c>
      <c r="J272" s="4" cm="1">
        <f t="array" ref="J272">_xll.BDP($A272,"UD_VALUATION_PERCENTILE")</f>
        <v>51.21</v>
      </c>
      <c r="K272" s="4" cm="1">
        <f t="array" ref="K272">_xll.BDP($A272,"UD_VALUATION_RANK")</f>
        <v>55</v>
      </c>
      <c r="L272" s="4" cm="1">
        <f t="array" ref="L272">_xll.BDP($A272,"UD_MOMENTUM_PERCENTILE")</f>
        <v>35.369999999999997</v>
      </c>
      <c r="M272" s="4" cm="1">
        <f t="array" ref="M272">_xll.BDP($A272,"UD_MOMENTUM_RANK")</f>
        <v>30</v>
      </c>
      <c r="N272" s="4" cm="1">
        <f t="array" ref="N272">_xll.BDP($A272,"UD_RISK_PERCENTILE")</f>
        <v>76.459999999999994</v>
      </c>
    </row>
    <row r="273" spans="1:14" x14ac:dyDescent="0.25">
      <c r="A273" t="str">
        <v>STAN LN Equity</v>
      </c>
      <c r="B273">
        <v>0.48908330749700002</v>
      </c>
      <c r="C273" s="3" t="str" cm="1">
        <f t="array" ref="C273">_xll.BDP(A273,"GICS_SECTOR_NAME")</f>
        <v>Financials</v>
      </c>
      <c r="D273" s="3" t="str" cm="1">
        <f t="array" ref="D273">_xll.BDP(A273,"GICS_INDUSTRY_NAME")</f>
        <v>Banks</v>
      </c>
      <c r="E273" s="4" cm="1">
        <f t="array" ref="E273">_xll.BDP($A273,"UD_OVERALL_FACTOR_PERCENTILE")</f>
        <v>50.03</v>
      </c>
      <c r="F273" s="5" cm="1">
        <f t="array" ref="F273">IFERROR(_xll.BDP($A273,"UD_OPERATING_QUALITY_FP"),50)</f>
        <v>34.06</v>
      </c>
      <c r="G273" s="4" cm="1">
        <f t="array" ref="G273">_xll.BDP($A273,"UD_OPERATING_QUALITY_RANK")</f>
        <v>15</v>
      </c>
      <c r="H273" s="4" cm="1">
        <f t="array" ref="H273">_xll.BDP($A273,"UD_GROWTH_PERCENTILE")</f>
        <v>65.5</v>
      </c>
      <c r="I273" s="6" cm="1">
        <f t="array" ref="I273">_xll.BDP($A273,"UD_GROWTH_RANK")</f>
        <v>83</v>
      </c>
      <c r="J273" s="4" cm="1">
        <f t="array" ref="J273">_xll.BDP($A273,"UD_VALUATION_PERCENTILE")</f>
        <v>50</v>
      </c>
      <c r="K273" s="4" cm="1">
        <f t="array" ref="K273">_xll.BDP($A273,"UD_VALUATION_RANK")</f>
        <v>54</v>
      </c>
      <c r="L273" s="4" cm="1">
        <f t="array" ref="L273">_xll.BDP($A273,"UD_MOMENTUM_PERCENTILE")</f>
        <v>66.05</v>
      </c>
      <c r="M273" s="4" cm="1">
        <f t="array" ref="M273">_xll.BDP($A273,"UD_MOMENTUM_RANK")</f>
        <v>77</v>
      </c>
      <c r="N273" s="4" cm="1">
        <f t="array" ref="N273">_xll.BDP($A273,"UD_RISK_PERCENTILE")</f>
        <v>37.07</v>
      </c>
    </row>
    <row r="274" spans="1:14" x14ac:dyDescent="0.25">
      <c r="A274" t="str">
        <v>STERV FH Equity</v>
      </c>
      <c r="B274">
        <v>5.4948632857000003E-2</v>
      </c>
      <c r="C274" s="3" t="str" cm="1">
        <f t="array" ref="C274">_xll.BDP(A274,"GICS_SECTOR_NAME")</f>
        <v>Materials</v>
      </c>
      <c r="D274" s="3" t="str" cm="1">
        <f t="array" ref="D274">_xll.BDP(A274,"GICS_INDUSTRY_NAME")</f>
        <v>Paper &amp; Forest Products</v>
      </c>
      <c r="E274" s="4" cm="1">
        <f t="array" ref="E274">_xll.BDP($A274,"UD_OVERALL_FACTOR_PERCENTILE")</f>
        <v>39.299999999999997</v>
      </c>
      <c r="F274" s="5" cm="1">
        <f t="array" ref="F274">IFERROR(_xll.BDP($A274,"UD_OPERATING_QUALITY_FP"),50)</f>
        <v>21.88</v>
      </c>
      <c r="G274" s="4" cm="1">
        <f t="array" ref="G274">_xll.BDP($A274,"UD_OPERATING_QUALITY_RANK")</f>
        <v>12</v>
      </c>
      <c r="H274" s="4" cm="1">
        <f t="array" ref="H274">_xll.BDP($A274,"UD_GROWTH_PERCENTILE")</f>
        <v>28.17</v>
      </c>
      <c r="I274" s="6" cm="1">
        <f t="array" ref="I274">_xll.BDP($A274,"UD_GROWTH_RANK")</f>
        <v>7</v>
      </c>
      <c r="J274" s="4" cm="1">
        <f t="array" ref="J274">_xll.BDP($A274,"UD_VALUATION_PERCENTILE")</f>
        <v>47.33</v>
      </c>
      <c r="K274" s="4" cm="1">
        <f t="array" ref="K274">_xll.BDP($A274,"UD_VALUATION_RANK")</f>
        <v>45</v>
      </c>
      <c r="L274" s="4" cm="1">
        <f t="array" ref="L274">_xll.BDP($A274,"UD_MOMENTUM_PERCENTILE")</f>
        <v>48.44</v>
      </c>
      <c r="M274" s="4" cm="1">
        <f t="array" ref="M274">_xll.BDP($A274,"UD_MOMENTUM_RANK")</f>
        <v>46</v>
      </c>
      <c r="N274" s="4" cm="1">
        <f t="array" ref="N274">_xll.BDP($A274,"UD_RISK_PERCENTILE")</f>
        <v>44.71</v>
      </c>
    </row>
    <row r="275" spans="1:14" x14ac:dyDescent="0.25">
      <c r="A275" t="str">
        <v>STLAM IM Equity</v>
      </c>
      <c r="B275">
        <v>0.20103161352900001</v>
      </c>
      <c r="C275" s="3" t="str" cm="1">
        <f t="array" ref="C275">_xll.BDP(A275,"GICS_SECTOR_NAME")</f>
        <v>Consumer Discretionary</v>
      </c>
      <c r="D275" s="3" t="str" cm="1">
        <f t="array" ref="D275">_xll.BDP(A275,"GICS_INDUSTRY_NAME")</f>
        <v>Automobiles</v>
      </c>
      <c r="E275" s="4" cm="1">
        <f t="array" ref="E275">_xll.BDP($A275,"UD_OVERALL_FACTOR_PERCENTILE")</f>
        <v>43.79</v>
      </c>
      <c r="F275" s="5" cm="1">
        <f t="array" ref="F275">IFERROR(_xll.BDP($A275,"UD_OPERATING_QUALITY_FP"),50)</f>
        <v>41.75</v>
      </c>
      <c r="G275" s="4" cm="1">
        <f t="array" ref="G275">_xll.BDP($A275,"UD_OPERATING_QUALITY_RANK")</f>
        <v>17</v>
      </c>
      <c r="H275" s="4" cm="1">
        <f t="array" ref="H275">_xll.BDP($A275,"UD_GROWTH_PERCENTILE")</f>
        <v>13.72</v>
      </c>
      <c r="I275" s="6" cm="1">
        <f t="array" ref="I275">_xll.BDP($A275,"UD_GROWTH_RANK")</f>
        <v>1</v>
      </c>
      <c r="J275" s="4" cm="1">
        <f t="array" ref="J275">_xll.BDP($A275,"UD_VALUATION_PERCENTILE")</f>
        <v>73.38</v>
      </c>
      <c r="K275" s="4" cm="1">
        <f t="array" ref="K275">_xll.BDP($A275,"UD_VALUATION_RANK")</f>
        <v>92</v>
      </c>
      <c r="L275" s="4" cm="1">
        <f t="array" ref="L275">_xll.BDP($A275,"UD_MOMENTUM_PERCENTILE")</f>
        <v>15.33</v>
      </c>
      <c r="M275" s="4" cm="1">
        <f t="array" ref="M275">_xll.BDP($A275,"UD_MOMENTUM_RANK")</f>
        <v>5</v>
      </c>
      <c r="N275" s="4" cm="1">
        <f t="array" ref="N275">_xll.BDP($A275,"UD_RISK_PERCENTILE")</f>
        <v>22.28</v>
      </c>
    </row>
    <row r="276" spans="1:14" x14ac:dyDescent="0.25">
      <c r="A276" t="str">
        <v>STMN SW Equity</v>
      </c>
      <c r="B276">
        <v>6.7050183417999995E-2</v>
      </c>
      <c r="C276" s="3" t="str" cm="1">
        <f t="array" ref="C276">_xll.BDP(A276,"GICS_SECTOR_NAME")</f>
        <v>Health Care</v>
      </c>
      <c r="D276" s="3" t="str" cm="1">
        <f t="array" ref="D276">_xll.BDP(A276,"GICS_INDUSTRY_NAME")</f>
        <v>Health Care Equipment &amp; Suppli</v>
      </c>
      <c r="E276" s="4" cm="1">
        <f t="array" ref="E276">_xll.BDP($A276,"UD_OVERALL_FACTOR_PERCENTILE")</f>
        <v>46.21</v>
      </c>
      <c r="F276" s="5" cm="1">
        <f t="array" ref="F276">IFERROR(_xll.BDP($A276,"UD_OPERATING_QUALITY_FP"),50)</f>
        <v>77.569999999999993</v>
      </c>
      <c r="G276" s="4" cm="1">
        <f t="array" ref="G276">_xll.BDP($A276,"UD_OPERATING_QUALITY_RANK")</f>
        <v>93</v>
      </c>
      <c r="H276" s="4" cm="1">
        <f t="array" ref="H276">_xll.BDP($A276,"UD_GROWTH_PERCENTILE")</f>
        <v>59.1</v>
      </c>
      <c r="I276" s="6" cm="1">
        <f t="array" ref="I276">_xll.BDP($A276,"UD_GROWTH_RANK")</f>
        <v>71</v>
      </c>
      <c r="J276" s="4" cm="1">
        <f t="array" ref="J276">_xll.BDP($A276,"UD_VALUATION_PERCENTILE")</f>
        <v>38.57</v>
      </c>
      <c r="K276" s="4" cm="1">
        <f t="array" ref="K276">_xll.BDP($A276,"UD_VALUATION_RANK")</f>
        <v>28</v>
      </c>
      <c r="L276" s="4" cm="1">
        <f t="array" ref="L276">_xll.BDP($A276,"UD_MOMENTUM_PERCENTILE")</f>
        <v>22.73</v>
      </c>
      <c r="M276" s="4" cm="1">
        <f t="array" ref="M276">_xll.BDP($A276,"UD_MOMENTUM_RANK")</f>
        <v>7</v>
      </c>
      <c r="N276" s="4" cm="1">
        <f t="array" ref="N276">_xll.BDP($A276,"UD_RISK_PERCENTILE")</f>
        <v>32.590000000000003</v>
      </c>
    </row>
    <row r="277" spans="1:14" x14ac:dyDescent="0.25">
      <c r="A277" t="str">
        <v>STMPA FP Equity</v>
      </c>
      <c r="B277">
        <v>0.14174262929699999</v>
      </c>
      <c r="C277" s="3" t="str" cm="1">
        <f t="array" ref="C277">_xll.BDP(A277,"GICS_SECTOR_NAME")</f>
        <v>Information Technology</v>
      </c>
      <c r="D277" s="3" t="str" cm="1">
        <f t="array" ref="D277">_xll.BDP(A277,"GICS_INDUSTRY_NAME")</f>
        <v>Semiconductors &amp; Semiconductor</v>
      </c>
      <c r="E277" s="4" cm="1">
        <f t="array" ref="E277">_xll.BDP($A277,"UD_OVERALL_FACTOR_PERCENTILE")</f>
        <v>47.27</v>
      </c>
      <c r="F277" s="5" cm="1">
        <f t="array" ref="F277">IFERROR(_xll.BDP($A277,"UD_OPERATING_QUALITY_FP"),50)</f>
        <v>27.37</v>
      </c>
      <c r="G277" s="4" cm="1">
        <f t="array" ref="G277">_xll.BDP($A277,"UD_OPERATING_QUALITY_RANK")</f>
        <v>8</v>
      </c>
      <c r="H277" s="4" cm="1">
        <f t="array" ref="H277">_xll.BDP($A277,"UD_GROWTH_PERCENTILE")</f>
        <v>31.91</v>
      </c>
      <c r="I277" s="6" cm="1">
        <f t="array" ref="I277">_xll.BDP($A277,"UD_GROWTH_RANK")</f>
        <v>11</v>
      </c>
      <c r="J277" s="4" cm="1">
        <f t="array" ref="J277">_xll.BDP($A277,"UD_VALUATION_PERCENTILE")</f>
        <v>68.16</v>
      </c>
      <c r="K277" s="4" cm="1">
        <f t="array" ref="K277">_xll.BDP($A277,"UD_VALUATION_RANK")</f>
        <v>88</v>
      </c>
      <c r="L277" s="4" cm="1">
        <f t="array" ref="L277">_xll.BDP($A277,"UD_MOMENTUM_PERCENTILE")</f>
        <v>45.65</v>
      </c>
      <c r="M277" s="4" cm="1">
        <f t="array" ref="M277">_xll.BDP($A277,"UD_MOMENTUM_RANK")</f>
        <v>43</v>
      </c>
      <c r="N277" s="4" cm="1">
        <f t="array" ref="N277">_xll.BDP($A277,"UD_RISK_PERCENTILE")</f>
        <v>23.69</v>
      </c>
    </row>
    <row r="278" spans="1:14" x14ac:dyDescent="0.25">
      <c r="A278" t="str">
        <v>SU FP Equity</v>
      </c>
      <c r="B278">
        <v>1.4208683713470001</v>
      </c>
      <c r="C278" s="3" t="str" cm="1">
        <f t="array" ref="C278">_xll.BDP(A278,"GICS_SECTOR_NAME")</f>
        <v>Industrials</v>
      </c>
      <c r="D278" s="3" t="str" cm="1">
        <f t="array" ref="D278">_xll.BDP(A278,"GICS_INDUSTRY_NAME")</f>
        <v>Electrical Equipment</v>
      </c>
      <c r="E278" s="4" cm="1">
        <f t="array" ref="E278">_xll.BDP($A278,"UD_OVERALL_FACTOR_PERCENTILE")</f>
        <v>46.79</v>
      </c>
      <c r="F278" s="5" cm="1">
        <f t="array" ref="F278">IFERROR(_xll.BDP($A278,"UD_OPERATING_QUALITY_FP"),50)</f>
        <v>77.5</v>
      </c>
      <c r="G278" s="4" cm="1">
        <f t="array" ref="G278">_xll.BDP($A278,"UD_OPERATING_QUALITY_RANK")</f>
        <v>84</v>
      </c>
      <c r="H278" s="4" cm="1">
        <f t="array" ref="H278">_xll.BDP($A278,"UD_GROWTH_PERCENTILE")</f>
        <v>60.96</v>
      </c>
      <c r="I278" s="6" cm="1">
        <f t="array" ref="I278">_xll.BDP($A278,"UD_GROWTH_RANK")</f>
        <v>75</v>
      </c>
      <c r="J278" s="4" cm="1">
        <f t="array" ref="J278">_xll.BDP($A278,"UD_VALUATION_PERCENTILE")</f>
        <v>28.49</v>
      </c>
      <c r="K278" s="4" cm="1">
        <f t="array" ref="K278">_xll.BDP($A278,"UD_VALUATION_RANK")</f>
        <v>24</v>
      </c>
      <c r="L278" s="4" cm="1">
        <f t="array" ref="L278">_xll.BDP($A278,"UD_MOMENTUM_PERCENTILE")</f>
        <v>34.950000000000003</v>
      </c>
      <c r="M278" s="4" cm="1">
        <f t="array" ref="M278">_xll.BDP($A278,"UD_MOMENTUM_RANK")</f>
        <v>21</v>
      </c>
      <c r="N278" s="4" cm="1">
        <f t="array" ref="N278">_xll.BDP($A278,"UD_RISK_PERCENTILE")</f>
        <v>54.77</v>
      </c>
    </row>
    <row r="279" spans="1:14" x14ac:dyDescent="0.25">
      <c r="A279" t="str">
        <v>SVT LN Equity</v>
      </c>
      <c r="B279">
        <v>0.12173558582500001</v>
      </c>
      <c r="C279" s="3" t="str" cm="1">
        <f t="array" ref="C279">_xll.BDP(A279,"GICS_SECTOR_NAME")</f>
        <v>Utilities</v>
      </c>
      <c r="D279" s="3" t="str" cm="1">
        <f t="array" ref="D279">_xll.BDP(A279,"GICS_INDUSTRY_NAME")</f>
        <v>Water Utilities</v>
      </c>
      <c r="E279" s="4" cm="1">
        <f t="array" ref="E279">_xll.BDP($A279,"UD_OVERALL_FACTOR_PERCENTILE")</f>
        <v>41.88</v>
      </c>
      <c r="F279" s="5" cm="1">
        <f t="array" ref="F279">IFERROR(_xll.BDP($A279,"UD_OPERATING_QUALITY_FP"),50)</f>
        <v>40.299999999999997</v>
      </c>
      <c r="G279" s="4" cm="1">
        <f t="array" ref="G279">_xll.BDP($A279,"UD_OPERATING_QUALITY_RANK")</f>
        <v>16</v>
      </c>
      <c r="H279" s="4" cm="1">
        <f t="array" ref="H279">_xll.BDP($A279,"UD_GROWTH_PERCENTILE")</f>
        <v>48.65</v>
      </c>
      <c r="I279" s="6" cm="1">
        <f t="array" ref="I279">_xll.BDP($A279,"UD_GROWTH_RANK")</f>
        <v>46</v>
      </c>
      <c r="J279" s="4" cm="1">
        <f t="array" ref="J279">_xll.BDP($A279,"UD_VALUATION_PERCENTILE")</f>
        <v>36.6</v>
      </c>
      <c r="K279" s="4" cm="1">
        <f t="array" ref="K279">_xll.BDP($A279,"UD_VALUATION_RANK")</f>
        <v>5</v>
      </c>
      <c r="L279" s="4" cm="1">
        <f t="array" ref="L279">_xll.BDP($A279,"UD_MOMENTUM_PERCENTILE")</f>
        <v>48.89</v>
      </c>
      <c r="M279" s="4" cm="1">
        <f t="array" ref="M279">_xll.BDP($A279,"UD_MOMENTUM_RANK")</f>
        <v>21</v>
      </c>
      <c r="N279" s="4" cm="1">
        <f t="array" ref="N279">_xll.BDP($A279,"UD_RISK_PERCENTILE")</f>
        <v>88.5</v>
      </c>
    </row>
    <row r="280" spans="1:14" x14ac:dyDescent="0.25">
      <c r="A280" t="str">
        <v>SW FP Equity</v>
      </c>
      <c r="B280">
        <v>0.14635744980599999</v>
      </c>
      <c r="C280" s="3" t="str" cm="1">
        <f t="array" ref="C280">_xll.BDP(A280,"GICS_SECTOR_NAME")</f>
        <v>Consumer Discretionary</v>
      </c>
      <c r="D280" s="3" t="str" cm="1">
        <f t="array" ref="D280">_xll.BDP(A280,"GICS_INDUSTRY_NAME")</f>
        <v>Hotels, Restaurants &amp; Leisure</v>
      </c>
      <c r="E280" s="4" cm="1">
        <f t="array" ref="E280">_xll.BDP($A280,"UD_OVERALL_FACTOR_PERCENTILE")</f>
        <v>43.74</v>
      </c>
      <c r="F280" s="5" cm="1">
        <f t="array" ref="F280">IFERROR(_xll.BDP($A280,"UD_OPERATING_QUALITY_FP"),50)</f>
        <v>66.709999999999994</v>
      </c>
      <c r="G280" s="4" cm="1">
        <f t="array" ref="G280">_xll.BDP($A280,"UD_OPERATING_QUALITY_RANK")</f>
        <v>79</v>
      </c>
      <c r="H280" s="4" cm="1">
        <f t="array" ref="H280">_xll.BDP($A280,"UD_GROWTH_PERCENTILE")</f>
        <v>28.41</v>
      </c>
      <c r="I280" s="6" cm="1">
        <f t="array" ref="I280">_xll.BDP($A280,"UD_GROWTH_RANK")</f>
        <v>7</v>
      </c>
      <c r="J280" s="4" cm="1">
        <f t="array" ref="J280">_xll.BDP($A280,"UD_VALUATION_PERCENTILE")</f>
        <v>45.09</v>
      </c>
      <c r="K280" s="4" cm="1">
        <f t="array" ref="K280">_xll.BDP($A280,"UD_VALUATION_RANK")</f>
        <v>41</v>
      </c>
      <c r="L280" s="4" cm="1">
        <f t="array" ref="L280">_xll.BDP($A280,"UD_MOMENTUM_PERCENTILE")</f>
        <v>19.39</v>
      </c>
      <c r="M280" s="4" cm="1">
        <f t="array" ref="M280">_xll.BDP($A280,"UD_MOMENTUM_RANK")</f>
        <v>7</v>
      </c>
      <c r="N280" s="4" cm="1">
        <f t="array" ref="N280">_xll.BDP($A280,"UD_RISK_PERCENTILE")</f>
        <v>73.760000000000005</v>
      </c>
    </row>
    <row r="281" spans="1:14" x14ac:dyDescent="0.25">
      <c r="A281" t="str">
        <v>SWEDA SS Equity</v>
      </c>
      <c r="B281">
        <v>0.22779655799699999</v>
      </c>
      <c r="C281" s="3" t="str" cm="1">
        <f t="array" ref="C281">_xll.BDP(A281,"GICS_SECTOR_NAME")</f>
        <v>Financials</v>
      </c>
      <c r="D281" s="3" t="str" cm="1">
        <f t="array" ref="D281">_xll.BDP(A281,"GICS_INDUSTRY_NAME")</f>
        <v>Banks</v>
      </c>
      <c r="E281" s="4" cm="1">
        <f t="array" ref="E281">_xll.BDP($A281,"UD_OVERALL_FACTOR_PERCENTILE")</f>
        <v>57.91</v>
      </c>
      <c r="F281" s="5" cm="1">
        <f t="array" ref="F281">IFERROR(_xll.BDP($A281,"UD_OPERATING_QUALITY_FP"),50)</f>
        <v>72.599999999999994</v>
      </c>
      <c r="G281" s="4" cm="1">
        <f t="array" ref="G281">_xll.BDP($A281,"UD_OPERATING_QUALITY_RANK")</f>
        <v>87</v>
      </c>
      <c r="H281" s="4" cm="1">
        <f t="array" ref="H281">_xll.BDP($A281,"UD_GROWTH_PERCENTILE")</f>
        <v>51.64</v>
      </c>
      <c r="I281" s="6" cm="1">
        <f t="array" ref="I281">_xll.BDP($A281,"UD_GROWTH_RANK")</f>
        <v>53</v>
      </c>
      <c r="J281" s="4" cm="1">
        <f t="array" ref="J281">_xll.BDP($A281,"UD_VALUATION_PERCENTILE")</f>
        <v>53.95</v>
      </c>
      <c r="K281" s="4" cm="1">
        <f t="array" ref="K281">_xll.BDP($A281,"UD_VALUATION_RANK")</f>
        <v>66</v>
      </c>
      <c r="L281" s="4" cm="1">
        <f t="array" ref="L281">_xll.BDP($A281,"UD_MOMENTUM_PERCENTILE")</f>
        <v>47.31</v>
      </c>
      <c r="M281" s="4" cm="1">
        <f t="array" ref="M281">_xll.BDP($A281,"UD_MOMENTUM_RANK")</f>
        <v>45</v>
      </c>
      <c r="N281" s="4" cm="1">
        <f t="array" ref="N281">_xll.BDP($A281,"UD_RISK_PERCENTILE")</f>
        <v>82.36</v>
      </c>
    </row>
    <row r="282" spans="1:14" x14ac:dyDescent="0.25">
      <c r="A282" t="str">
        <v>SY1 GY Equity</v>
      </c>
      <c r="B282">
        <v>0.18043277176799999</v>
      </c>
      <c r="C282" s="3" t="str" cm="1">
        <f t="array" ref="C282">_xll.BDP(A282,"GICS_SECTOR_NAME")</f>
        <v>Materials</v>
      </c>
      <c r="D282" s="3" t="str" cm="1">
        <f t="array" ref="D282">_xll.BDP(A282,"GICS_INDUSTRY_NAME")</f>
        <v>Chemicals</v>
      </c>
      <c r="E282" s="4" cm="1">
        <f t="array" ref="E282">_xll.BDP($A282,"UD_OVERALL_FACTOR_PERCENTILE")</f>
        <v>52.21</v>
      </c>
      <c r="F282" s="5" cm="1">
        <f t="array" ref="F282">IFERROR(_xll.BDP($A282,"UD_OPERATING_QUALITY_FP"),50)</f>
        <v>89.38</v>
      </c>
      <c r="G282" s="4" cm="1">
        <f t="array" ref="G282">_xll.BDP($A282,"UD_OPERATING_QUALITY_RANK")</f>
        <v>95</v>
      </c>
      <c r="H282" s="4" cm="1">
        <f t="array" ref="H282">_xll.BDP($A282,"UD_GROWTH_PERCENTILE")</f>
        <v>57.93</v>
      </c>
      <c r="I282" s="6" cm="1">
        <f t="array" ref="I282">_xll.BDP($A282,"UD_GROWTH_RANK")</f>
        <v>68</v>
      </c>
      <c r="J282" s="4" cm="1">
        <f t="array" ref="J282">_xll.BDP($A282,"UD_VALUATION_PERCENTILE")</f>
        <v>23.38</v>
      </c>
      <c r="K282" s="4" cm="1">
        <f t="array" ref="K282">_xll.BDP($A282,"UD_VALUATION_RANK")</f>
        <v>11</v>
      </c>
      <c r="L282" s="4" cm="1">
        <f t="array" ref="L282">_xll.BDP($A282,"UD_MOMENTUM_PERCENTILE")</f>
        <v>44.76</v>
      </c>
      <c r="M282" s="4" cm="1">
        <f t="array" ref="M282">_xll.BDP($A282,"UD_MOMENTUM_RANK")</f>
        <v>39</v>
      </c>
      <c r="N282" s="4" cm="1">
        <f t="array" ref="N282">_xll.BDP($A282,"UD_RISK_PERCENTILE")</f>
        <v>70.19</v>
      </c>
    </row>
    <row r="283" spans="1:14" x14ac:dyDescent="0.25">
      <c r="A283" t="str">
        <v>SYENS BB Equity</v>
      </c>
      <c r="B283">
        <v>4.3264104560000002E-2</v>
      </c>
      <c r="C283" s="3" t="str" cm="1">
        <f t="array" ref="C283">_xll.BDP(A283,"GICS_SECTOR_NAME")</f>
        <v>Materials</v>
      </c>
      <c r="D283" s="3" t="str" cm="1">
        <f t="array" ref="D283">_xll.BDP(A283,"GICS_INDUSTRY_NAME")</f>
        <v>Chemicals</v>
      </c>
      <c r="E283" s="4" cm="1">
        <f t="array" ref="E283">_xll.BDP($A283,"UD_OVERALL_FACTOR_PERCENTILE")</f>
        <v>55.9</v>
      </c>
      <c r="F283" s="5" cm="1">
        <f t="array" ref="F283">IFERROR(_xll.BDP($A283,"UD_OPERATING_QUALITY_FP"),50)</f>
        <v>68.62</v>
      </c>
      <c r="G283" s="4" cm="1">
        <f t="array" ref="G283">_xll.BDP($A283,"UD_OPERATING_QUALITY_RANK")</f>
        <v>74</v>
      </c>
      <c r="H283" s="4" cm="1">
        <f t="array" ref="H283">_xll.BDP($A283,"UD_GROWTH_PERCENTILE")</f>
        <v>45.84</v>
      </c>
      <c r="I283" s="6" cm="1">
        <f t="array" ref="I283">_xll.BDP($A283,"UD_GROWTH_RANK")</f>
        <v>40</v>
      </c>
      <c r="J283" s="4" cm="1">
        <f t="array" ref="J283">_xll.BDP($A283,"UD_VALUATION_PERCENTILE")</f>
        <v>47.98</v>
      </c>
      <c r="K283" s="4" cm="1">
        <f t="array" ref="K283">_xll.BDP($A283,"UD_VALUATION_RANK")</f>
        <v>50</v>
      </c>
      <c r="L283" s="4" cm="1">
        <f t="array" ref="L283">_xll.BDP($A283,"UD_MOMENTUM_PERCENTILE")</f>
        <v>51.33</v>
      </c>
      <c r="M283" s="4" cm="1">
        <f t="array" ref="M283">_xll.BDP($A283,"UD_MOMENTUM_RANK")</f>
        <v>57</v>
      </c>
      <c r="N283" s="4" cm="1">
        <f t="array" ref="N283">_xll.BDP($A283,"UD_RISK_PERCENTILE")</f>
        <v>47.78</v>
      </c>
    </row>
    <row r="284" spans="1:14" x14ac:dyDescent="0.25">
      <c r="A284" t="str">
        <v>TEL NO Equity</v>
      </c>
      <c r="B284">
        <v>0.12574495043200001</v>
      </c>
      <c r="C284" s="3" t="str" cm="1">
        <f t="array" ref="C284">_xll.BDP(A284,"GICS_SECTOR_NAME")</f>
        <v>Communication Services</v>
      </c>
      <c r="D284" s="3" t="str" cm="1">
        <f t="array" ref="D284">_xll.BDP(A284,"GICS_INDUSTRY_NAME")</f>
        <v>Diversified Telecommunication</v>
      </c>
      <c r="E284" s="4" cm="1">
        <f t="array" ref="E284">_xll.BDP($A284,"UD_OVERALL_FACTOR_PERCENTILE")</f>
        <v>52.1</v>
      </c>
      <c r="F284" s="5" cm="1">
        <f t="array" ref="F284">IFERROR(_xll.BDP($A284,"UD_OPERATING_QUALITY_FP"),50)</f>
        <v>48.02</v>
      </c>
      <c r="G284" s="4" cm="1">
        <f t="array" ref="G284">_xll.BDP($A284,"UD_OPERATING_QUALITY_RANK")</f>
        <v>23</v>
      </c>
      <c r="H284" s="4" cm="1">
        <f t="array" ref="H284">_xll.BDP($A284,"UD_GROWTH_PERCENTILE")</f>
        <v>33.18</v>
      </c>
      <c r="I284" s="6" cm="1">
        <f t="array" ref="I284">_xll.BDP($A284,"UD_GROWTH_RANK")</f>
        <v>14</v>
      </c>
      <c r="J284" s="4" cm="1">
        <f t="array" ref="J284">_xll.BDP($A284,"UD_VALUATION_PERCENTILE")</f>
        <v>52.33</v>
      </c>
      <c r="K284" s="4" cm="1">
        <f t="array" ref="K284">_xll.BDP($A284,"UD_VALUATION_RANK")</f>
        <v>49</v>
      </c>
      <c r="L284" s="4" cm="1">
        <f t="array" ref="L284">_xll.BDP($A284,"UD_MOMENTUM_PERCENTILE")</f>
        <v>55.94</v>
      </c>
      <c r="M284" s="4" cm="1">
        <f t="array" ref="M284">_xll.BDP($A284,"UD_MOMENTUM_RANK")</f>
        <v>72</v>
      </c>
      <c r="N284" s="4" cm="1">
        <f t="array" ref="N284">_xll.BDP($A284,"UD_RISK_PERCENTILE")</f>
        <v>95.27</v>
      </c>
    </row>
    <row r="285" spans="1:14" x14ac:dyDescent="0.25">
      <c r="A285" t="str">
        <v>TEL2B SS Equity</v>
      </c>
      <c r="B285">
        <v>0.10021434514999999</v>
      </c>
      <c r="C285" s="3" t="str" cm="1">
        <f t="array" ref="C285">_xll.BDP(A285,"GICS_SECTOR_NAME")</f>
        <v>Communication Services</v>
      </c>
      <c r="D285" s="3" t="str" cm="1">
        <f t="array" ref="D285">_xll.BDP(A285,"GICS_INDUSTRY_NAME")</f>
        <v>Wireless Telecommunication Ser</v>
      </c>
      <c r="E285" s="4" cm="1">
        <f t="array" ref="E285">_xll.BDP($A285,"UD_OVERALL_FACTOR_PERCENTILE")</f>
        <v>55.74</v>
      </c>
      <c r="F285" s="5" cm="1">
        <f t="array" ref="F285">IFERROR(_xll.BDP($A285,"UD_OPERATING_QUALITY_FP"),50)</f>
        <v>65.69</v>
      </c>
      <c r="G285" s="4" cm="1">
        <f t="array" ref="G285">_xll.BDP($A285,"UD_OPERATING_QUALITY_RANK")</f>
        <v>75</v>
      </c>
      <c r="H285" s="4" cm="1">
        <f t="array" ref="H285">_xll.BDP($A285,"UD_GROWTH_PERCENTILE")</f>
        <v>39.229999999999997</v>
      </c>
      <c r="I285" s="6" cm="1">
        <f t="array" ref="I285">_xll.BDP($A285,"UD_GROWTH_RANK")</f>
        <v>25</v>
      </c>
      <c r="J285" s="4" cm="1">
        <f t="array" ref="J285">_xll.BDP($A285,"UD_VALUATION_PERCENTILE")</f>
        <v>30.26</v>
      </c>
      <c r="K285" s="4" cm="1">
        <f t="array" ref="K285">_xll.BDP($A285,"UD_VALUATION_RANK")</f>
        <v>16</v>
      </c>
      <c r="L285" s="4" cm="1">
        <f t="array" ref="L285">_xll.BDP($A285,"UD_MOMENTUM_PERCENTILE")</f>
        <v>72.03</v>
      </c>
      <c r="M285" s="4" cm="1">
        <f t="array" ref="M285">_xll.BDP($A285,"UD_MOMENTUM_RANK")</f>
        <v>92</v>
      </c>
      <c r="N285" s="4" cm="1">
        <f t="array" ref="N285">_xll.BDP($A285,"UD_RISK_PERCENTILE")</f>
        <v>54.34</v>
      </c>
    </row>
    <row r="286" spans="1:14" x14ac:dyDescent="0.25">
      <c r="A286" t="str">
        <v>TELIA SS Equity</v>
      </c>
      <c r="B286">
        <v>0.14134335105500001</v>
      </c>
      <c r="C286" s="3" t="str" cm="1">
        <f t="array" ref="C286">_xll.BDP(A286,"GICS_SECTOR_NAME")</f>
        <v>Communication Services</v>
      </c>
      <c r="D286" s="3" t="str" cm="1">
        <f t="array" ref="D286">_xll.BDP(A286,"GICS_INDUSTRY_NAME")</f>
        <v>Diversified Telecommunication</v>
      </c>
      <c r="E286" s="4" cm="1">
        <f t="array" ref="E286">_xll.BDP($A286,"UD_OVERALL_FACTOR_PERCENTILE")</f>
        <v>54.53</v>
      </c>
      <c r="F286" s="5" cm="1">
        <f t="array" ref="F286">IFERROR(_xll.BDP($A286,"UD_OPERATING_QUALITY_FP"),50)</f>
        <v>52.77</v>
      </c>
      <c r="G286" s="4" cm="1">
        <f t="array" ref="G286">_xll.BDP($A286,"UD_OPERATING_QUALITY_RANK")</f>
        <v>46</v>
      </c>
      <c r="H286" s="4" cm="1">
        <f t="array" ref="H286">_xll.BDP($A286,"UD_GROWTH_PERCENTILE")</f>
        <v>31.66</v>
      </c>
      <c r="I286" s="6" cm="1">
        <f t="array" ref="I286">_xll.BDP($A286,"UD_GROWTH_RANK")</f>
        <v>11</v>
      </c>
      <c r="J286" s="4" cm="1">
        <f t="array" ref="J286">_xll.BDP($A286,"UD_VALUATION_PERCENTILE")</f>
        <v>60.24</v>
      </c>
      <c r="K286" s="4" cm="1">
        <f t="array" ref="K286">_xll.BDP($A286,"UD_VALUATION_RANK")</f>
        <v>64</v>
      </c>
      <c r="L286" s="4" cm="1">
        <f t="array" ref="L286">_xll.BDP($A286,"UD_MOMENTUM_PERCENTILE")</f>
        <v>50.41</v>
      </c>
      <c r="M286" s="4" cm="1">
        <f t="array" ref="M286">_xll.BDP($A286,"UD_MOMENTUM_RANK")</f>
        <v>53</v>
      </c>
      <c r="N286" s="4" cm="1">
        <f t="array" ref="N286">_xll.BDP($A286,"UD_RISK_PERCENTILE")</f>
        <v>88.11</v>
      </c>
    </row>
    <row r="287" spans="1:14" x14ac:dyDescent="0.25">
      <c r="A287" t="str">
        <v>TEMN SW Equity</v>
      </c>
      <c r="B287">
        <v>2.7205508052000001E-2</v>
      </c>
      <c r="C287" s="3" t="str" cm="1">
        <f t="array" ref="C287">_xll.BDP(A287,"GICS_SECTOR_NAME")</f>
        <v>Information Technology</v>
      </c>
      <c r="D287" s="3" t="str" cm="1">
        <f t="array" ref="D287">_xll.BDP(A287,"GICS_INDUSTRY_NAME")</f>
        <v>Software</v>
      </c>
      <c r="E287" s="4" cm="1">
        <f t="array" ref="E287">_xll.BDP($A287,"UD_OVERALL_FACTOR_PERCENTILE")</f>
        <v>52.56</v>
      </c>
      <c r="F287" s="5" cm="1">
        <f t="array" ref="F287">IFERROR(_xll.BDP($A287,"UD_OPERATING_QUALITY_FP"),50)</f>
        <v>51.66</v>
      </c>
      <c r="G287" s="4" cm="1">
        <f t="array" ref="G287">_xll.BDP($A287,"UD_OPERATING_QUALITY_RANK")</f>
        <v>43</v>
      </c>
      <c r="H287" s="4" cm="1">
        <f t="array" ref="H287">_xll.BDP($A287,"UD_GROWTH_PERCENTILE")</f>
        <v>42.58</v>
      </c>
      <c r="I287" s="6" cm="1">
        <f t="array" ref="I287">_xll.BDP($A287,"UD_GROWTH_RANK")</f>
        <v>33</v>
      </c>
      <c r="J287" s="4" cm="1">
        <f t="array" ref="J287">_xll.BDP($A287,"UD_VALUATION_PERCENTILE")</f>
        <v>30.01</v>
      </c>
      <c r="K287" s="4" cm="1">
        <f t="array" ref="K287">_xll.BDP($A287,"UD_VALUATION_RANK")</f>
        <v>18</v>
      </c>
      <c r="L287" s="4" cm="1">
        <f t="array" ref="L287">_xll.BDP($A287,"UD_MOMENTUM_PERCENTILE")</f>
        <v>76.709999999999994</v>
      </c>
      <c r="M287" s="4" cm="1">
        <f t="array" ref="M287">_xll.BDP($A287,"UD_MOMENTUM_RANK")</f>
        <v>91</v>
      </c>
      <c r="N287" s="4" cm="1">
        <f t="array" ref="N287">_xll.BDP($A287,"UD_RISK_PERCENTILE")</f>
        <v>15.86</v>
      </c>
    </row>
    <row r="288" spans="1:14" x14ac:dyDescent="0.25">
      <c r="A288" t="str">
        <v>TEN IM Equity</v>
      </c>
      <c r="B288">
        <v>0.259636134756</v>
      </c>
      <c r="C288" s="3" t="str" cm="1">
        <f t="array" ref="C288">_xll.BDP(A288,"GICS_SECTOR_NAME")</f>
        <v>Energy</v>
      </c>
      <c r="D288" s="3" t="str" cm="1">
        <f t="array" ref="D288">_xll.BDP(A288,"GICS_INDUSTRY_NAME")</f>
        <v>Energy Equipment &amp; Services</v>
      </c>
      <c r="E288" s="4" cm="1">
        <f t="array" ref="E288">_xll.BDP($A288,"UD_OVERALL_FACTOR_PERCENTILE")</f>
        <v>61.47</v>
      </c>
      <c r="F288" s="5" cm="1">
        <f t="array" ref="F288">IFERROR(_xll.BDP($A288,"UD_OPERATING_QUALITY_FP"),50)</f>
        <v>68.92</v>
      </c>
      <c r="G288" s="4" cm="1">
        <f t="array" ref="G288">_xll.BDP($A288,"UD_OPERATING_QUALITY_RANK")</f>
        <v>78</v>
      </c>
      <c r="H288" s="4" cm="1">
        <f t="array" ref="H288">_xll.BDP($A288,"UD_GROWTH_PERCENTILE")</f>
        <v>22.94</v>
      </c>
      <c r="I288" s="6" cm="1">
        <f t="array" ref="I288">_xll.BDP($A288,"UD_GROWTH_RANK")</f>
        <v>3</v>
      </c>
      <c r="J288" s="4" cm="1">
        <f t="array" ref="J288">_xll.BDP($A288,"UD_VALUATION_PERCENTILE")</f>
        <v>58.36</v>
      </c>
      <c r="K288" s="4" cm="1">
        <f t="array" ref="K288">_xll.BDP($A288,"UD_VALUATION_RANK")</f>
        <v>70</v>
      </c>
      <c r="L288" s="4" cm="1">
        <f t="array" ref="L288">_xll.BDP($A288,"UD_MOMENTUM_PERCENTILE")</f>
        <v>57.24</v>
      </c>
      <c r="M288" s="4" cm="1">
        <f t="array" ref="M288">_xll.BDP($A288,"UD_MOMENTUM_RANK")</f>
        <v>68</v>
      </c>
      <c r="N288" s="4" cm="1">
        <f t="array" ref="N288">_xll.BDP($A288,"UD_RISK_PERCENTILE")</f>
        <v>36.21</v>
      </c>
    </row>
    <row r="289" spans="1:14" x14ac:dyDescent="0.25">
      <c r="A289" t="str">
        <v>TEP FP Equity</v>
      </c>
      <c r="B289">
        <v>5.3640384375000003E-2</v>
      </c>
      <c r="C289" s="3" t="str" cm="1">
        <f t="array" ref="C289">_xll.BDP(A289,"GICS_SECTOR_NAME")</f>
        <v>Industrials</v>
      </c>
      <c r="D289" s="3" t="str" cm="1">
        <f t="array" ref="D289">_xll.BDP(A289,"GICS_INDUSTRY_NAME")</f>
        <v>Professional Services</v>
      </c>
      <c r="E289" s="4" cm="1">
        <f t="array" ref="E289">_xll.BDP($A289,"UD_OVERALL_FACTOR_PERCENTILE")</f>
        <v>59.83</v>
      </c>
      <c r="F289" s="5" cm="1">
        <f t="array" ref="F289">IFERROR(_xll.BDP($A289,"UD_OPERATING_QUALITY_FP"),50)</f>
        <v>72.28</v>
      </c>
      <c r="G289" s="4" cm="1">
        <f t="array" ref="G289">_xll.BDP($A289,"UD_OPERATING_QUALITY_RANK")</f>
        <v>75</v>
      </c>
      <c r="H289" s="4" cm="1">
        <f t="array" ref="H289">_xll.BDP($A289,"UD_GROWTH_PERCENTILE")</f>
        <v>49.47</v>
      </c>
      <c r="I289" s="6" cm="1">
        <f t="array" ref="I289">_xll.BDP($A289,"UD_GROWTH_RANK")</f>
        <v>48</v>
      </c>
      <c r="J289" s="4" cm="1">
        <f t="array" ref="J289">_xll.BDP($A289,"UD_VALUATION_PERCENTILE")</f>
        <v>89.24</v>
      </c>
      <c r="K289" s="4" cm="1">
        <f t="array" ref="K289">_xll.BDP($A289,"UD_VALUATION_RANK")</f>
        <v>99</v>
      </c>
      <c r="L289" s="4" cm="1">
        <f t="array" ref="L289">_xll.BDP($A289,"UD_MOMENTUM_PERCENTILE")</f>
        <v>17.079999999999998</v>
      </c>
      <c r="M289" s="4" cm="1">
        <f t="array" ref="M289">_xll.BDP($A289,"UD_MOMENTUM_RANK")</f>
        <v>4</v>
      </c>
      <c r="N289" s="4" cm="1">
        <f t="array" ref="N289">_xll.BDP($A289,"UD_RISK_PERCENTILE")</f>
        <v>36.020000000000003</v>
      </c>
    </row>
    <row r="290" spans="1:14" x14ac:dyDescent="0.25">
      <c r="A290" t="str">
        <v>TRELB SS Equity</v>
      </c>
      <c r="B290">
        <v>0.121478192666</v>
      </c>
      <c r="C290" s="3" t="str" cm="1">
        <f t="array" ref="C290">_xll.BDP(A290,"GICS_SECTOR_NAME")</f>
        <v>Industrials</v>
      </c>
      <c r="D290" s="3" t="str" cm="1">
        <f t="array" ref="D290">_xll.BDP(A290,"GICS_INDUSTRY_NAME")</f>
        <v>Machinery</v>
      </c>
      <c r="E290" s="4" cm="1">
        <f t="array" ref="E290">_xll.BDP($A290,"UD_OVERALL_FACTOR_PERCENTILE")</f>
        <v>44.51</v>
      </c>
      <c r="F290" s="5" cm="1">
        <f t="array" ref="F290">IFERROR(_xll.BDP($A290,"UD_OPERATING_QUALITY_FP"),50)</f>
        <v>63.33</v>
      </c>
      <c r="G290" s="4" cm="1">
        <f t="array" ref="G290">_xll.BDP($A290,"UD_OPERATING_QUALITY_RANK")</f>
        <v>61</v>
      </c>
      <c r="H290" s="4" cm="1">
        <f t="array" ref="H290">_xll.BDP($A290,"UD_GROWTH_PERCENTILE")</f>
        <v>36.229999999999997</v>
      </c>
      <c r="I290" s="6" cm="1">
        <f t="array" ref="I290">_xll.BDP($A290,"UD_GROWTH_RANK")</f>
        <v>19</v>
      </c>
      <c r="J290" s="4" cm="1">
        <f t="array" ref="J290">_xll.BDP($A290,"UD_VALUATION_PERCENTILE")</f>
        <v>29.11</v>
      </c>
      <c r="K290" s="4" cm="1">
        <f t="array" ref="K290">_xll.BDP($A290,"UD_VALUATION_RANK")</f>
        <v>26</v>
      </c>
      <c r="L290" s="4" cm="1">
        <f t="array" ref="L290">_xll.BDP($A290,"UD_MOMENTUM_PERCENTILE")</f>
        <v>41.54</v>
      </c>
      <c r="M290" s="4" cm="1">
        <f t="array" ref="M290">_xll.BDP($A290,"UD_MOMENTUM_RANK")</f>
        <v>32</v>
      </c>
      <c r="N290" s="4" cm="1">
        <f t="array" ref="N290">_xll.BDP($A290,"UD_RISK_PERCENTILE")</f>
        <v>31.48</v>
      </c>
    </row>
    <row r="291" spans="1:14" x14ac:dyDescent="0.25">
      <c r="A291" t="str">
        <v>TSCO LN Equity</v>
      </c>
      <c r="B291">
        <v>0.55480530984099996</v>
      </c>
      <c r="C291" s="3" t="str" cm="1">
        <f t="array" ref="C291">_xll.BDP(A291,"GICS_SECTOR_NAME")</f>
        <v>Consumer Staples</v>
      </c>
      <c r="D291" s="3" t="str" cm="1">
        <f t="array" ref="D291">_xll.BDP(A291,"GICS_INDUSTRY_NAME")</f>
        <v>Consumer Staples Distribution</v>
      </c>
      <c r="E291" s="4" cm="1">
        <f t="array" ref="E291">_xll.BDP($A291,"UD_OVERALL_FACTOR_PERCENTILE")</f>
        <v>51.88</v>
      </c>
      <c r="F291" s="5" cm="1">
        <f t="array" ref="F291">IFERROR(_xll.BDP($A291,"UD_OPERATING_QUALITY_FP"),50)</f>
        <v>46.27</v>
      </c>
      <c r="G291" s="4" cm="1">
        <f t="array" ref="G291">_xll.BDP($A291,"UD_OPERATING_QUALITY_RANK")</f>
        <v>32</v>
      </c>
      <c r="H291" s="4" cm="1">
        <f t="array" ref="H291">_xll.BDP($A291,"UD_GROWTH_PERCENTILE")</f>
        <v>32.700000000000003</v>
      </c>
      <c r="I291" s="6" cm="1">
        <f t="array" ref="I291">_xll.BDP($A291,"UD_GROWTH_RANK")</f>
        <v>13</v>
      </c>
      <c r="J291" s="4" cm="1">
        <f t="array" ref="J291">_xll.BDP($A291,"UD_VALUATION_PERCENTILE")</f>
        <v>48.11</v>
      </c>
      <c r="K291" s="4" cm="1">
        <f t="array" ref="K291">_xll.BDP($A291,"UD_VALUATION_RANK")</f>
        <v>45</v>
      </c>
      <c r="L291" s="4" cm="1">
        <f t="array" ref="L291">_xll.BDP($A291,"UD_MOMENTUM_PERCENTILE")</f>
        <v>61.37</v>
      </c>
      <c r="M291" s="4" cm="1">
        <f t="array" ref="M291">_xll.BDP($A291,"UD_MOMENTUM_RANK")</f>
        <v>85</v>
      </c>
      <c r="N291" s="4" cm="1">
        <f t="array" ref="N291">_xll.BDP($A291,"UD_RISK_PERCENTILE")</f>
        <v>78.86</v>
      </c>
    </row>
    <row r="292" spans="1:14" x14ac:dyDescent="0.25">
      <c r="A292" t="str">
        <v>TW/ LN Equity</v>
      </c>
      <c r="B292">
        <v>9.1387244859999994E-2</v>
      </c>
      <c r="C292" s="3" t="str" cm="1">
        <f t="array" ref="C292">_xll.BDP(A292,"GICS_SECTOR_NAME")</f>
        <v>Consumer Discretionary</v>
      </c>
      <c r="D292" s="3" t="str" cm="1">
        <f t="array" ref="D292">_xll.BDP(A292,"GICS_INDUSTRY_NAME")</f>
        <v>Household Durables</v>
      </c>
      <c r="E292" s="4" cm="1">
        <f t="array" ref="E292">_xll.BDP($A292,"UD_OVERALL_FACTOR_PERCENTILE")</f>
        <v>56.28</v>
      </c>
      <c r="F292" s="5" cm="1">
        <f t="array" ref="F292">IFERROR(_xll.BDP($A292,"UD_OPERATING_QUALITY_FP"),50)</f>
        <v>46.7</v>
      </c>
      <c r="G292" s="4" cm="1">
        <f t="array" ref="G292">_xll.BDP($A292,"UD_OPERATING_QUALITY_RANK")</f>
        <v>31</v>
      </c>
      <c r="H292" s="4" cm="1">
        <f t="array" ref="H292">_xll.BDP($A292,"UD_GROWTH_PERCENTILE")</f>
        <v>28</v>
      </c>
      <c r="I292" s="6" cm="1">
        <f t="array" ref="I292">_xll.BDP($A292,"UD_GROWTH_RANK")</f>
        <v>7</v>
      </c>
      <c r="J292" s="4" cm="1">
        <f t="array" ref="J292">_xll.BDP($A292,"UD_VALUATION_PERCENTILE")</f>
        <v>80.14</v>
      </c>
      <c r="K292" s="4" cm="1">
        <f t="array" ref="K292">_xll.BDP($A292,"UD_VALUATION_RANK")</f>
        <v>95</v>
      </c>
      <c r="L292" s="4" cm="1">
        <f t="array" ref="L292">_xll.BDP($A292,"UD_MOMENTUM_PERCENTILE")</f>
        <v>41.27</v>
      </c>
      <c r="M292" s="4" cm="1">
        <f t="array" ref="M292">_xll.BDP($A292,"UD_MOMENTUM_RANK")</f>
        <v>43</v>
      </c>
      <c r="N292" s="4" cm="1">
        <f t="array" ref="N292">_xll.BDP($A292,"UD_RISK_PERCENTILE")</f>
        <v>27.55</v>
      </c>
    </row>
    <row r="293" spans="1:14" x14ac:dyDescent="0.25">
      <c r="A293" t="str">
        <v>UBSG SW Equity</v>
      </c>
      <c r="B293">
        <v>1.342568181796</v>
      </c>
      <c r="C293" s="3" t="str" cm="1">
        <f t="array" ref="C293">_xll.BDP(A293,"GICS_SECTOR_NAME")</f>
        <v>Financials</v>
      </c>
      <c r="D293" s="3" t="str" cm="1">
        <f t="array" ref="D293">_xll.BDP(A293,"GICS_INDUSTRY_NAME")</f>
        <v>Capital Markets</v>
      </c>
      <c r="E293" s="4" t="str" cm="1">
        <f t="array" ref="E293">_xll.BDP($A293,"UD_OVERALL_FACTOR_PERCENTILE")</f>
        <v>#N/A Field Not Applicable</v>
      </c>
      <c r="F293" s="5" t="str" cm="1">
        <f t="array" ref="F293">IFERROR(_xll.BDP($A293,"UD_OPERATING_QUALITY_FP"),50)</f>
        <v>#N/A Field Not Applicable</v>
      </c>
      <c r="G293" s="4" t="str" cm="1">
        <f t="array" ref="G293">_xll.BDP($A293,"UD_OPERATING_QUALITY_RANK")</f>
        <v>#N/A Field Not Applicable</v>
      </c>
      <c r="H293" s="4" t="str" cm="1">
        <f t="array" ref="H293">_xll.BDP($A293,"UD_GROWTH_PERCENTILE")</f>
        <v>#N/A Field Not Applicable</v>
      </c>
      <c r="I293" s="6" t="str" cm="1">
        <f t="array" ref="I293">_xll.BDP($A293,"UD_GROWTH_RANK")</f>
        <v>#N/A Field Not Applicable</v>
      </c>
      <c r="J293" s="4" t="str" cm="1">
        <f t="array" ref="J293">_xll.BDP($A293,"UD_VALUATION_PERCENTILE")</f>
        <v>#N/A Field Not Applicable</v>
      </c>
      <c r="K293" s="4" t="str" cm="1">
        <f t="array" ref="K293">_xll.BDP($A293,"UD_VALUATION_RANK")</f>
        <v>#N/A Field Not Applicable</v>
      </c>
      <c r="L293" s="4" t="str" cm="1">
        <f t="array" ref="L293">_xll.BDP($A293,"UD_MOMENTUM_PERCENTILE")</f>
        <v>#N/A Field Not Applicable</v>
      </c>
      <c r="M293" s="4" t="str" cm="1">
        <f t="array" ref="M293">_xll.BDP($A293,"UD_MOMENTUM_RANK")</f>
        <v>#N/A Field Not Applicable</v>
      </c>
      <c r="N293" s="4" t="str" cm="1">
        <f t="array" ref="N293">_xll.BDP($A293,"UD_RISK_PERCENTILE")</f>
        <v>#N/A Field Not Applicable</v>
      </c>
    </row>
    <row r="294" spans="1:14" x14ac:dyDescent="0.25">
      <c r="A294" t="str">
        <v>UCB BB Equity</v>
      </c>
      <c r="B294">
        <v>0.35377044836499999</v>
      </c>
      <c r="C294" s="3" t="str" cm="1">
        <f t="array" ref="C294">_xll.BDP(A294,"GICS_SECTOR_NAME")</f>
        <v>Health Care</v>
      </c>
      <c r="D294" s="3" t="str" cm="1">
        <f t="array" ref="D294">_xll.BDP(A294,"GICS_INDUSTRY_NAME")</f>
        <v>Pharmaceuticals</v>
      </c>
      <c r="E294" s="4" cm="1">
        <f t="array" ref="E294">_xll.BDP($A294,"UD_OVERALL_FACTOR_PERCENTILE")</f>
        <v>49.38</v>
      </c>
      <c r="F294" s="5" cm="1">
        <f t="array" ref="F294">IFERROR(_xll.BDP($A294,"UD_OPERATING_QUALITY_FP"),50)</f>
        <v>43.29</v>
      </c>
      <c r="G294" s="4" cm="1">
        <f t="array" ref="G294">_xll.BDP($A294,"UD_OPERATING_QUALITY_RANK")</f>
        <v>26</v>
      </c>
      <c r="H294" s="4" cm="1">
        <f t="array" ref="H294">_xll.BDP($A294,"UD_GROWTH_PERCENTILE")</f>
        <v>55.9</v>
      </c>
      <c r="I294" s="6" cm="1">
        <f t="array" ref="I294">_xll.BDP($A294,"UD_GROWTH_RANK")</f>
        <v>63</v>
      </c>
      <c r="J294" s="4" cm="1">
        <f t="array" ref="J294">_xll.BDP($A294,"UD_VALUATION_PERCENTILE")</f>
        <v>48.44</v>
      </c>
      <c r="K294" s="4" cm="1">
        <f t="array" ref="K294">_xll.BDP($A294,"UD_VALUATION_RANK")</f>
        <v>49</v>
      </c>
      <c r="L294" s="4" cm="1">
        <f t="array" ref="L294">_xll.BDP($A294,"UD_MOMENTUM_PERCENTILE")</f>
        <v>56.43</v>
      </c>
      <c r="M294" s="4" cm="1">
        <f t="array" ref="M294">_xll.BDP($A294,"UD_MOMENTUM_RANK")</f>
        <v>72</v>
      </c>
      <c r="N294" s="4" cm="1">
        <f t="array" ref="N294">_xll.BDP($A294,"UD_RISK_PERCENTILE")</f>
        <v>69.319999999999993</v>
      </c>
    </row>
    <row r="295" spans="1:14" x14ac:dyDescent="0.25">
      <c r="A295" t="str">
        <v>UCG IM Equity</v>
      </c>
      <c r="B295">
        <v>1.010612132913</v>
      </c>
      <c r="C295" s="3" t="str" cm="1">
        <f t="array" ref="C295">_xll.BDP(A295,"GICS_SECTOR_NAME")</f>
        <v>Financials</v>
      </c>
      <c r="D295" s="3" t="str" cm="1">
        <f t="array" ref="D295">_xll.BDP(A295,"GICS_INDUSTRY_NAME")</f>
        <v>Banks</v>
      </c>
      <c r="E295" s="4" cm="1">
        <f t="array" ref="E295">_xll.BDP($A295,"UD_OVERALL_FACTOR_PERCENTILE")</f>
        <v>57.29</v>
      </c>
      <c r="F295" s="5" cm="1">
        <f t="array" ref="F295">IFERROR(_xll.BDP($A295,"UD_OPERATING_QUALITY_FP"),50)</f>
        <v>42.41</v>
      </c>
      <c r="G295" s="4" cm="1">
        <f t="array" ref="G295">_xll.BDP($A295,"UD_OPERATING_QUALITY_RANK")</f>
        <v>28</v>
      </c>
      <c r="H295" s="4" cm="1">
        <f t="array" ref="H295">_xll.BDP($A295,"UD_GROWTH_PERCENTILE")</f>
        <v>53.59</v>
      </c>
      <c r="I295" s="6" cm="1">
        <f t="array" ref="I295">_xll.BDP($A295,"UD_GROWTH_RANK")</f>
        <v>58</v>
      </c>
      <c r="J295" s="4" cm="1">
        <f t="array" ref="J295">_xll.BDP($A295,"UD_VALUATION_PERCENTILE")</f>
        <v>46.32</v>
      </c>
      <c r="K295" s="4" cm="1">
        <f t="array" ref="K295">_xll.BDP($A295,"UD_VALUATION_RANK")</f>
        <v>42</v>
      </c>
      <c r="L295" s="4" cm="1">
        <f t="array" ref="L295">_xll.BDP($A295,"UD_MOMENTUM_PERCENTILE")</f>
        <v>83.48</v>
      </c>
      <c r="M295" s="4" cm="1">
        <f t="array" ref="M295">_xll.BDP($A295,"UD_MOMENTUM_RANK")</f>
        <v>97</v>
      </c>
      <c r="N295" s="4" cm="1">
        <f t="array" ref="N295">_xll.BDP($A295,"UD_RISK_PERCENTILE")</f>
        <v>28.73</v>
      </c>
    </row>
    <row r="296" spans="1:14" x14ac:dyDescent="0.25">
      <c r="A296" t="str">
        <v>UHR SW Equity</v>
      </c>
      <c r="B296">
        <v>0.181791027331</v>
      </c>
      <c r="C296" s="3" t="str" cm="1">
        <f t="array" ref="C296">_xll.BDP(A296,"GICS_SECTOR_NAME")</f>
        <v>Consumer Discretionary</v>
      </c>
      <c r="D296" s="3" t="str" cm="1">
        <f t="array" ref="D296">_xll.BDP(A296,"GICS_INDUSTRY_NAME")</f>
        <v>Textiles, Apparel &amp; Luxury Goo</v>
      </c>
      <c r="E296" s="4" cm="1">
        <f t="array" ref="E296">_xll.BDP($A296,"UD_OVERALL_FACTOR_PERCENTILE")</f>
        <v>42.11</v>
      </c>
      <c r="F296" s="5" cm="1">
        <f t="array" ref="F296">IFERROR(_xll.BDP($A296,"UD_OPERATING_QUALITY_FP"),50)</f>
        <v>43.84</v>
      </c>
      <c r="G296" s="4" cm="1">
        <f t="array" ref="G296">_xll.BDP($A296,"UD_OPERATING_QUALITY_RANK")</f>
        <v>20</v>
      </c>
      <c r="H296" s="4" cm="1">
        <f t="array" ref="H296">_xll.BDP($A296,"UD_GROWTH_PERCENTILE")</f>
        <v>31.91</v>
      </c>
      <c r="I296" s="6" cm="1">
        <f t="array" ref="I296">_xll.BDP($A296,"UD_GROWTH_RANK")</f>
        <v>11</v>
      </c>
      <c r="J296" s="4" cm="1">
        <f t="array" ref="J296">_xll.BDP($A296,"UD_VALUATION_PERCENTILE")</f>
        <v>52.34</v>
      </c>
      <c r="K296" s="4" cm="1">
        <f t="array" ref="K296">_xll.BDP($A296,"UD_VALUATION_RANK")</f>
        <v>55</v>
      </c>
      <c r="L296" s="4" cm="1">
        <f t="array" ref="L296">_xll.BDP($A296,"UD_MOMENTUM_PERCENTILE")</f>
        <v>29.85</v>
      </c>
      <c r="M296" s="4" cm="1">
        <f t="array" ref="M296">_xll.BDP($A296,"UD_MOMENTUM_RANK")</f>
        <v>13</v>
      </c>
      <c r="N296" s="4" cm="1">
        <f t="array" ref="N296">_xll.BDP($A296,"UD_RISK_PERCENTILE")</f>
        <v>53.15</v>
      </c>
    </row>
    <row r="297" spans="1:14" x14ac:dyDescent="0.25">
      <c r="A297" t="str">
        <v>UMG NA Equity</v>
      </c>
      <c r="B297">
        <v>0.106002759755</v>
      </c>
      <c r="C297" s="3" t="str" cm="1">
        <f t="array" ref="C297">_xll.BDP(A297,"GICS_SECTOR_NAME")</f>
        <v>Communication Services</v>
      </c>
      <c r="D297" s="3" t="str" cm="1">
        <f t="array" ref="D297">_xll.BDP(A297,"GICS_INDUSTRY_NAME")</f>
        <v>Entertainment</v>
      </c>
      <c r="E297" s="4" cm="1">
        <f t="array" ref="E297">_xll.BDP($A297,"UD_OVERALL_FACTOR_PERCENTILE")</f>
        <v>47.72</v>
      </c>
      <c r="F297" s="5" cm="1">
        <f t="array" ref="F297">IFERROR(_xll.BDP($A297,"UD_OPERATING_QUALITY_FP"),50)</f>
        <v>67.45</v>
      </c>
      <c r="G297" s="4" cm="1">
        <f t="array" ref="G297">_xll.BDP($A297,"UD_OPERATING_QUALITY_RANK")</f>
        <v>77</v>
      </c>
      <c r="H297" s="4" cm="1">
        <f t="array" ref="H297">_xll.BDP($A297,"UD_GROWTH_PERCENTILE")</f>
        <v>53.23</v>
      </c>
      <c r="I297" s="6" cm="1">
        <f t="array" ref="I297">_xll.BDP($A297,"UD_GROWTH_RANK")</f>
        <v>58</v>
      </c>
      <c r="J297" s="4" cm="1">
        <f t="array" ref="J297">_xll.BDP($A297,"UD_VALUATION_PERCENTILE")</f>
        <v>30.45</v>
      </c>
      <c r="K297" s="4" cm="1">
        <f t="array" ref="K297">_xll.BDP($A297,"UD_VALUATION_RANK")</f>
        <v>18</v>
      </c>
      <c r="L297" s="4" cm="1">
        <f t="array" ref="L297">_xll.BDP($A297,"UD_MOMENTUM_PERCENTILE")</f>
        <v>45.8</v>
      </c>
      <c r="M297" s="4" cm="1">
        <f t="array" ref="M297">_xll.BDP($A297,"UD_MOMENTUM_RANK")</f>
        <v>38</v>
      </c>
      <c r="N297" s="4" cm="1">
        <f t="array" ref="N297">_xll.BDP($A297,"UD_RISK_PERCENTILE")</f>
        <v>55.75</v>
      </c>
    </row>
    <row r="298" spans="1:14" x14ac:dyDescent="0.25">
      <c r="A298" t="str">
        <v>UNA NA Equity</v>
      </c>
      <c r="B298">
        <v>1.4900764018420001</v>
      </c>
      <c r="C298" s="3" t="str" cm="1">
        <f t="array" ref="C298">_xll.BDP(A298,"GICS_SECTOR_NAME")</f>
        <v>Consumer Staples</v>
      </c>
      <c r="D298" s="3" t="str" cm="1">
        <f t="array" ref="D298">_xll.BDP(A298,"GICS_INDUSTRY_NAME")</f>
        <v>Personal Care Products</v>
      </c>
      <c r="E298" s="4" t="str" cm="1">
        <f t="array" ref="E298">_xll.BDP($A298,"UD_OVERALL_FACTOR_PERCENTILE")</f>
        <v>#N/A Field Not Applicable</v>
      </c>
      <c r="F298" s="5" t="str" cm="1">
        <f t="array" ref="F298">IFERROR(_xll.BDP($A298,"UD_OPERATING_QUALITY_FP"),50)</f>
        <v>#N/A Field Not Applicable</v>
      </c>
      <c r="G298" s="4" t="str" cm="1">
        <f t="array" ref="G298">_xll.BDP($A298,"UD_OPERATING_QUALITY_RANK")</f>
        <v>#N/A Field Not Applicable</v>
      </c>
      <c r="H298" s="4" t="str" cm="1">
        <f t="array" ref="H298">_xll.BDP($A298,"UD_GROWTH_PERCENTILE")</f>
        <v>#N/A Field Not Applicable</v>
      </c>
      <c r="I298" s="6" t="str" cm="1">
        <f t="array" ref="I298">_xll.BDP($A298,"UD_GROWTH_RANK")</f>
        <v>#N/A Field Not Applicable</v>
      </c>
      <c r="J298" s="4" t="str" cm="1">
        <f t="array" ref="J298">_xll.BDP($A298,"UD_VALUATION_PERCENTILE")</f>
        <v>#N/A Field Not Applicable</v>
      </c>
      <c r="K298" s="4" t="str" cm="1">
        <f t="array" ref="K298">_xll.BDP($A298,"UD_VALUATION_RANK")</f>
        <v>#N/A Field Not Applicable</v>
      </c>
      <c r="L298" s="4" t="str" cm="1">
        <f t="array" ref="L298">_xll.BDP($A298,"UD_MOMENTUM_PERCENTILE")</f>
        <v>#N/A Field Not Applicable</v>
      </c>
      <c r="M298" s="4" t="str" cm="1">
        <f t="array" ref="M298">_xll.BDP($A298,"UD_MOMENTUM_RANK")</f>
        <v>#N/A Field Not Applicable</v>
      </c>
      <c r="N298" s="4" t="str" cm="1">
        <f t="array" ref="N298">_xll.BDP($A298,"UD_RISK_PERCENTILE")</f>
        <v>#N/A Field Not Applicable</v>
      </c>
    </row>
    <row r="299" spans="1:14" x14ac:dyDescent="0.25">
      <c r="A299" t="str">
        <v>UNI IM Equity</v>
      </c>
      <c r="B299">
        <v>0.116601791898</v>
      </c>
      <c r="C299" s="3" t="str" cm="1">
        <f t="array" ref="C299">_xll.BDP(A299,"GICS_SECTOR_NAME")</f>
        <v>Financials</v>
      </c>
      <c r="D299" s="3" t="str" cm="1">
        <f t="array" ref="D299">_xll.BDP(A299,"GICS_INDUSTRY_NAME")</f>
        <v>Insurance</v>
      </c>
      <c r="E299" s="4" cm="1">
        <f t="array" ref="E299">_xll.BDP($A299,"UD_OVERALL_FACTOR_PERCENTILE")</f>
        <v>58.21</v>
      </c>
      <c r="F299" s="5" cm="1">
        <f t="array" ref="F299">IFERROR(_xll.BDP($A299,"UD_OPERATING_QUALITY_FP"),50)</f>
        <v>58.2</v>
      </c>
      <c r="G299" s="4" cm="1">
        <f t="array" ref="G299">_xll.BDP($A299,"UD_OPERATING_QUALITY_RANK")</f>
        <v>65</v>
      </c>
      <c r="H299" s="4" cm="1">
        <f t="array" ref="H299">_xll.BDP($A299,"UD_GROWTH_PERCENTILE")</f>
        <v>54.81</v>
      </c>
      <c r="I299" s="6" cm="1">
        <f t="array" ref="I299">_xll.BDP($A299,"UD_GROWTH_RANK")</f>
        <v>61</v>
      </c>
      <c r="J299" s="4" cm="1">
        <f t="array" ref="J299">_xll.BDP($A299,"UD_VALUATION_PERCENTILE")</f>
        <v>56.97</v>
      </c>
      <c r="K299" s="4" cm="1">
        <f t="array" ref="K299">_xll.BDP($A299,"UD_VALUATION_RANK")</f>
        <v>70</v>
      </c>
      <c r="L299" s="4" cm="1">
        <f t="array" ref="L299">_xll.BDP($A299,"UD_MOMENTUM_PERCENTILE")</f>
        <v>59.51</v>
      </c>
      <c r="M299" s="4" cm="1">
        <f t="array" ref="M299">_xll.BDP($A299,"UD_MOMENTUM_RANK")</f>
        <v>70</v>
      </c>
      <c r="N299" s="4" cm="1">
        <f t="array" ref="N299">_xll.BDP($A299,"UD_RISK_PERCENTILE")</f>
        <v>58.04</v>
      </c>
    </row>
    <row r="300" spans="1:14" x14ac:dyDescent="0.25">
      <c r="A300" t="str">
        <v>UPM FH Equity</v>
      </c>
      <c r="B300">
        <v>8.5275823109999996E-2</v>
      </c>
      <c r="C300" s="3" t="str" cm="1">
        <f t="array" ref="C300">_xll.BDP(A300,"GICS_SECTOR_NAME")</f>
        <v>Materials</v>
      </c>
      <c r="D300" s="3" t="str" cm="1">
        <f t="array" ref="D300">_xll.BDP(A300,"GICS_INDUSTRY_NAME")</f>
        <v>Paper &amp; Forest Products</v>
      </c>
      <c r="E300" s="4" cm="1">
        <f t="array" ref="E300">_xll.BDP($A300,"UD_OVERALL_FACTOR_PERCENTILE")</f>
        <v>45.99</v>
      </c>
      <c r="F300" s="5" cm="1">
        <f t="array" ref="F300">IFERROR(_xll.BDP($A300,"UD_OPERATING_QUALITY_FP"),50)</f>
        <v>45.91</v>
      </c>
      <c r="G300" s="4" cm="1">
        <f t="array" ref="G300">_xll.BDP($A300,"UD_OPERATING_QUALITY_RANK")</f>
        <v>42</v>
      </c>
      <c r="H300" s="4" cm="1">
        <f t="array" ref="H300">_xll.BDP($A300,"UD_GROWTH_PERCENTILE")</f>
        <v>31.72</v>
      </c>
      <c r="I300" s="6" cm="1">
        <f t="array" ref="I300">_xll.BDP($A300,"UD_GROWTH_RANK")</f>
        <v>11</v>
      </c>
      <c r="J300" s="4" cm="1">
        <f t="array" ref="J300">_xll.BDP($A300,"UD_VALUATION_PERCENTILE")</f>
        <v>55.69</v>
      </c>
      <c r="K300" s="4" cm="1">
        <f t="array" ref="K300">_xll.BDP($A300,"UD_VALUATION_RANK")</f>
        <v>64</v>
      </c>
      <c r="L300" s="4" cm="1">
        <f t="array" ref="L300">_xll.BDP($A300,"UD_MOMENTUM_PERCENTILE")</f>
        <v>36.07</v>
      </c>
      <c r="M300" s="4" cm="1">
        <f t="array" ref="M300">_xll.BDP($A300,"UD_MOMENTUM_RANK")</f>
        <v>19</v>
      </c>
      <c r="N300" s="4" cm="1">
        <f t="array" ref="N300">_xll.BDP($A300,"UD_RISK_PERCENTILE")</f>
        <v>63.63</v>
      </c>
    </row>
    <row r="301" spans="1:14" x14ac:dyDescent="0.25">
      <c r="A301" t="str">
        <v>URW FP Equity</v>
      </c>
      <c r="B301">
        <v>6.7459651943000007E-2</v>
      </c>
      <c r="C301" s="3" t="str" cm="1">
        <f t="array" ref="C301">_xll.BDP(A301,"GICS_SECTOR_NAME")</f>
        <v>Real Estate</v>
      </c>
      <c r="D301" s="3" t="str" cm="1">
        <f t="array" ref="D301">_xll.BDP(A301,"GICS_INDUSTRY_NAME")</f>
        <v>Retail REITs</v>
      </c>
      <c r="E301" s="4" cm="1">
        <f t="array" ref="E301">_xll.BDP($A301,"UD_OVERALL_FACTOR_PERCENTILE")</f>
        <v>44.57</v>
      </c>
      <c r="F301" s="5" cm="1">
        <f t="array" ref="F301">IFERROR(_xll.BDP($A301,"UD_OPERATING_QUALITY_FP"),50)</f>
        <v>26.64</v>
      </c>
      <c r="G301" s="4" cm="1">
        <f t="array" ref="G301">_xll.BDP($A301,"UD_OPERATING_QUALITY_RANK")</f>
        <v>11</v>
      </c>
      <c r="H301" s="4" cm="1">
        <f t="array" ref="H301">_xll.BDP($A301,"UD_GROWTH_PERCENTILE")</f>
        <v>32.9</v>
      </c>
      <c r="I301" s="6" cm="1">
        <f t="array" ref="I301">_xll.BDP($A301,"UD_GROWTH_RANK")</f>
        <v>13</v>
      </c>
      <c r="J301" s="4" cm="1">
        <f t="array" ref="J301">_xll.BDP($A301,"UD_VALUATION_PERCENTILE")</f>
        <v>39.94</v>
      </c>
      <c r="K301" s="4" cm="1">
        <f t="array" ref="K301">_xll.BDP($A301,"UD_VALUATION_RANK")</f>
        <v>34</v>
      </c>
      <c r="L301" s="4" cm="1">
        <f t="array" ref="L301">_xll.BDP($A301,"UD_MOMENTUM_PERCENTILE")</f>
        <v>67.260000000000005</v>
      </c>
      <c r="M301" s="4" cm="1">
        <f t="array" ref="M301">_xll.BDP($A301,"UD_MOMENTUM_RANK")</f>
        <v>90</v>
      </c>
      <c r="N301" s="4" cm="1">
        <f t="array" ref="N301">_xll.BDP($A301,"UD_RISK_PERCENTILE")</f>
        <v>37.380000000000003</v>
      </c>
    </row>
    <row r="302" spans="1:14" x14ac:dyDescent="0.25">
      <c r="A302" t="str">
        <v>UU/ LN Equity</v>
      </c>
      <c r="B302">
        <v>0.16031646354599999</v>
      </c>
      <c r="C302" s="3" t="str" cm="1">
        <f t="array" ref="C302">_xll.BDP(A302,"GICS_SECTOR_NAME")</f>
        <v>Utilities</v>
      </c>
      <c r="D302" s="3" t="str" cm="1">
        <f t="array" ref="D302">_xll.BDP(A302,"GICS_INDUSTRY_NAME")</f>
        <v>Water Utilities</v>
      </c>
      <c r="E302" s="4" cm="1">
        <f t="array" ref="E302">_xll.BDP($A302,"UD_OVERALL_FACTOR_PERCENTILE")</f>
        <v>50.99</v>
      </c>
      <c r="F302" s="5" cm="1">
        <f t="array" ref="F302">IFERROR(_xll.BDP($A302,"UD_OPERATING_QUALITY_FP"),50)</f>
        <v>37.08</v>
      </c>
      <c r="G302" s="4" cm="1">
        <f t="array" ref="G302">_xll.BDP($A302,"UD_OPERATING_QUALITY_RANK")</f>
        <v>11</v>
      </c>
      <c r="H302" s="4" cm="1">
        <f t="array" ref="H302">_xll.BDP($A302,"UD_GROWTH_PERCENTILE")</f>
        <v>46.37</v>
      </c>
      <c r="I302" s="6" cm="1">
        <f t="array" ref="I302">_xll.BDP($A302,"UD_GROWTH_RANK")</f>
        <v>41</v>
      </c>
      <c r="J302" s="4" cm="1">
        <f t="array" ref="J302">_xll.BDP($A302,"UD_VALUATION_PERCENTILE")</f>
        <v>50.72</v>
      </c>
      <c r="K302" s="4" cm="1">
        <f t="array" ref="K302">_xll.BDP($A302,"UD_VALUATION_RANK")</f>
        <v>42</v>
      </c>
      <c r="L302" s="4" cm="1">
        <f t="array" ref="L302">_xll.BDP($A302,"UD_MOMENTUM_PERCENTILE")</f>
        <v>65.180000000000007</v>
      </c>
      <c r="M302" s="4" cm="1">
        <f t="array" ref="M302">_xll.BDP($A302,"UD_MOMENTUM_RANK")</f>
        <v>100</v>
      </c>
      <c r="N302" s="4" cm="1">
        <f t="array" ref="N302">_xll.BDP($A302,"UD_RISK_PERCENTILE")</f>
        <v>83.35</v>
      </c>
    </row>
    <row r="303" spans="1:14" x14ac:dyDescent="0.25">
      <c r="A303" t="str">
        <v>VACN SW Equity</v>
      </c>
      <c r="B303">
        <v>1.9140566263000001E-2</v>
      </c>
      <c r="C303" s="3" t="str" cm="1">
        <f t="array" ref="C303">_xll.BDP(A303,"GICS_SECTOR_NAME")</f>
        <v>Industrials</v>
      </c>
      <c r="D303" s="3" t="str" cm="1">
        <f t="array" ref="D303">_xll.BDP(A303,"GICS_INDUSTRY_NAME")</f>
        <v>Machinery</v>
      </c>
      <c r="E303" s="4" cm="1">
        <f t="array" ref="E303">_xll.BDP($A303,"UD_OVERALL_FACTOR_PERCENTILE")</f>
        <v>36.5</v>
      </c>
      <c r="F303" s="5" cm="1">
        <f t="array" ref="F303">IFERROR(_xll.BDP($A303,"UD_OPERATING_QUALITY_FP"),50)</f>
        <v>78.069999999999993</v>
      </c>
      <c r="G303" s="4" cm="1">
        <f t="array" ref="G303">_xll.BDP($A303,"UD_OPERATING_QUALITY_RANK")</f>
        <v>86</v>
      </c>
      <c r="H303" s="4" cm="1">
        <f t="array" ref="H303">_xll.BDP($A303,"UD_GROWTH_PERCENTILE")</f>
        <v>65.260000000000005</v>
      </c>
      <c r="I303" s="6" cm="1">
        <f t="array" ref="I303">_xll.BDP($A303,"UD_GROWTH_RANK")</f>
        <v>82</v>
      </c>
      <c r="J303" s="4" cm="1">
        <f t="array" ref="J303">_xll.BDP($A303,"UD_VALUATION_PERCENTILE")</f>
        <v>17.22</v>
      </c>
      <c r="K303" s="4" cm="1">
        <f t="array" ref="K303">_xll.BDP($A303,"UD_VALUATION_RANK")</f>
        <v>8</v>
      </c>
      <c r="L303" s="4" cm="1">
        <f t="array" ref="L303">_xll.BDP($A303,"UD_MOMENTUM_PERCENTILE")</f>
        <v>14.78</v>
      </c>
      <c r="M303" s="4" cm="1">
        <f t="array" ref="M303">_xll.BDP($A303,"UD_MOMENTUM_RANK")</f>
        <v>3</v>
      </c>
      <c r="N303" s="4" cm="1">
        <f t="array" ref="N303">_xll.BDP($A303,"UD_RISK_PERCENTILE")</f>
        <v>25.31</v>
      </c>
    </row>
    <row r="304" spans="1:14" x14ac:dyDescent="0.25">
      <c r="A304" t="str">
        <v>VER AV Equity</v>
      </c>
      <c r="B304">
        <v>9.6835834856999994E-2</v>
      </c>
      <c r="C304" s="3" t="str" cm="1">
        <f t="array" ref="C304">_xll.BDP(A304,"GICS_SECTOR_NAME")</f>
        <v>Utilities</v>
      </c>
      <c r="D304" s="3" t="str" cm="1">
        <f t="array" ref="D304">_xll.BDP(A304,"GICS_INDUSTRY_NAME")</f>
        <v>Electric Utilities</v>
      </c>
      <c r="E304" s="4" cm="1">
        <f t="array" ref="E304">_xll.BDP($A304,"UD_OVERALL_FACTOR_PERCENTILE")</f>
        <v>45.59</v>
      </c>
      <c r="F304" s="5" cm="1">
        <f t="array" ref="F304">IFERROR(_xll.BDP($A304,"UD_OPERATING_QUALITY_FP"),50)</f>
        <v>58.2</v>
      </c>
      <c r="G304" s="4" cm="1">
        <f t="array" ref="G304">_xll.BDP($A304,"UD_OPERATING_QUALITY_RANK")</f>
        <v>70</v>
      </c>
      <c r="H304" s="4" cm="1">
        <f t="array" ref="H304">_xll.BDP($A304,"UD_GROWTH_PERCENTILE")</f>
        <v>30.64</v>
      </c>
      <c r="I304" s="6" cm="1">
        <f t="array" ref="I304">_xll.BDP($A304,"UD_GROWTH_RANK")</f>
        <v>9</v>
      </c>
      <c r="J304" s="4" cm="1">
        <f t="array" ref="J304">_xll.BDP($A304,"UD_VALUATION_PERCENTILE")</f>
        <v>45.58</v>
      </c>
      <c r="K304" s="4" cm="1">
        <f t="array" ref="K304">_xll.BDP($A304,"UD_VALUATION_RANK")</f>
        <v>30</v>
      </c>
      <c r="L304" s="4" cm="1">
        <f t="array" ref="L304">_xll.BDP($A304,"UD_MOMENTUM_PERCENTILE")</f>
        <v>33</v>
      </c>
      <c r="M304" s="4" cm="1">
        <f t="array" ref="M304">_xll.BDP($A304,"UD_MOMENTUM_RANK")</f>
        <v>25</v>
      </c>
      <c r="N304" s="4" cm="1">
        <f t="array" ref="N304">_xll.BDP($A304,"UD_RISK_PERCENTILE")</f>
        <v>74.540000000000006</v>
      </c>
    </row>
    <row r="305" spans="1:14" x14ac:dyDescent="0.25">
      <c r="A305" t="str">
        <v>VIV FP Equity</v>
      </c>
      <c r="B305">
        <v>3.8880418966000002E-2</v>
      </c>
      <c r="C305" s="3" t="str" cm="1">
        <f t="array" ref="C305">_xll.BDP(A305,"GICS_SECTOR_NAME")</f>
        <v>Communication Services</v>
      </c>
      <c r="D305" s="3" t="str" cm="1">
        <f t="array" ref="D305">_xll.BDP(A305,"GICS_INDUSTRY_NAME")</f>
        <v>Entertainment</v>
      </c>
      <c r="E305" s="4" cm="1">
        <f t="array" ref="E305">_xll.BDP($A305,"UD_OVERALL_FACTOR_PERCENTILE")</f>
        <v>53.37</v>
      </c>
      <c r="F305" s="5" cm="1">
        <f t="array" ref="F305">IFERROR(_xll.BDP($A305,"UD_OPERATING_QUALITY_FP"),50)</f>
        <v>37.630000000000003</v>
      </c>
      <c r="G305" s="4" cm="1">
        <f t="array" ref="G305">_xll.BDP($A305,"UD_OPERATING_QUALITY_RANK")</f>
        <v>10</v>
      </c>
      <c r="H305" s="4" cm="1">
        <f t="array" ref="H305">_xll.BDP($A305,"UD_GROWTH_PERCENTILE")</f>
        <v>10.57</v>
      </c>
      <c r="I305" s="6" cm="1">
        <f t="array" ref="I305">_xll.BDP($A305,"UD_GROWTH_RANK")</f>
        <v>0</v>
      </c>
      <c r="J305" s="4" cm="1">
        <f t="array" ref="J305">_xll.BDP($A305,"UD_VALUATION_PERCENTILE")</f>
        <v>60.19</v>
      </c>
      <c r="K305" s="4" cm="1">
        <f t="array" ref="K305">_xll.BDP($A305,"UD_VALUATION_RANK")</f>
        <v>62</v>
      </c>
      <c r="L305" s="4" cm="1">
        <f t="array" ref="L305">_xll.BDP($A305,"UD_MOMENTUM_PERCENTILE")</f>
        <v>62.08</v>
      </c>
      <c r="M305" s="4" cm="1">
        <f t="array" ref="M305">_xll.BDP($A305,"UD_MOMENTUM_RANK")</f>
        <v>85</v>
      </c>
      <c r="N305" s="4" cm="1">
        <f t="array" ref="N305">_xll.BDP($A305,"UD_RISK_PERCENTILE")</f>
        <v>38.78</v>
      </c>
    </row>
    <row r="306" spans="1:14" x14ac:dyDescent="0.25">
      <c r="A306" t="str">
        <v>VNA GY Equity</v>
      </c>
      <c r="B306">
        <v>0.12001380410699999</v>
      </c>
      <c r="C306" s="3" t="str" cm="1">
        <f t="array" ref="C306">_xll.BDP(A306,"GICS_SECTOR_NAME")</f>
        <v>Real Estate</v>
      </c>
      <c r="D306" s="3" t="str" cm="1">
        <f t="array" ref="D306">_xll.BDP(A306,"GICS_INDUSTRY_NAME")</f>
        <v>Real Estate Management &amp; Devel</v>
      </c>
      <c r="E306" s="4" cm="1">
        <f t="array" ref="E306">_xll.BDP($A306,"UD_OVERALL_FACTOR_PERCENTILE")</f>
        <v>38.29</v>
      </c>
      <c r="F306" s="5" cm="1">
        <f t="array" ref="F306">IFERROR(_xll.BDP($A306,"UD_OPERATING_QUALITY_FP"),50)</f>
        <v>20.13</v>
      </c>
      <c r="G306" s="4" cm="1">
        <f t="array" ref="G306">_xll.BDP($A306,"UD_OPERATING_QUALITY_RANK")</f>
        <v>4</v>
      </c>
      <c r="H306" s="4" cm="1">
        <f t="array" ref="H306">_xll.BDP($A306,"UD_GROWTH_PERCENTILE")</f>
        <v>31.59</v>
      </c>
      <c r="I306" s="6" cm="1">
        <f t="array" ref="I306">_xll.BDP($A306,"UD_GROWTH_RANK")</f>
        <v>10</v>
      </c>
      <c r="J306" s="4" cm="1">
        <f t="array" ref="J306">_xll.BDP($A306,"UD_VALUATION_PERCENTILE")</f>
        <v>44.87</v>
      </c>
      <c r="K306" s="4" cm="1">
        <f t="array" ref="K306">_xll.BDP($A306,"UD_VALUATION_RANK")</f>
        <v>49</v>
      </c>
      <c r="L306" s="4" cm="1">
        <f t="array" ref="L306">_xll.BDP($A306,"UD_MOMENTUM_PERCENTILE")</f>
        <v>49.66</v>
      </c>
      <c r="M306" s="4" cm="1">
        <f t="array" ref="M306">_xll.BDP($A306,"UD_MOMENTUM_RANK")</f>
        <v>53</v>
      </c>
      <c r="N306" s="4" cm="1">
        <f t="array" ref="N306">_xll.BDP($A306,"UD_RISK_PERCENTILE")</f>
        <v>54.25</v>
      </c>
    </row>
    <row r="307" spans="1:14" x14ac:dyDescent="0.25">
      <c r="A307" t="str">
        <v>VOD LN Equity</v>
      </c>
      <c r="B307">
        <v>0.18163385712999999</v>
      </c>
      <c r="C307" s="3" t="str" cm="1">
        <f t="array" ref="C307">_xll.BDP(A307,"GICS_SECTOR_NAME")</f>
        <v>Communication Services</v>
      </c>
      <c r="D307" s="3" t="str" cm="1">
        <f t="array" ref="D307">_xll.BDP(A307,"GICS_INDUSTRY_NAME")</f>
        <v>Wireless Telecommunication Ser</v>
      </c>
      <c r="E307" s="4" cm="1">
        <f t="array" ref="E307">_xll.BDP($A307,"UD_OVERALL_FACTOR_PERCENTILE")</f>
        <v>58.84</v>
      </c>
      <c r="F307" s="5" cm="1">
        <f t="array" ref="F307">IFERROR(_xll.BDP($A307,"UD_OPERATING_QUALITY_FP"),50)</f>
        <v>48.63</v>
      </c>
      <c r="G307" s="4" cm="1">
        <f t="array" ref="G307">_xll.BDP($A307,"UD_OPERATING_QUALITY_RANK")</f>
        <v>26</v>
      </c>
      <c r="H307" s="4" cm="1">
        <f t="array" ref="H307">_xll.BDP($A307,"UD_GROWTH_PERCENTILE")</f>
        <v>28.76</v>
      </c>
      <c r="I307" s="6" cm="1">
        <f t="array" ref="I307">_xll.BDP($A307,"UD_GROWTH_RANK")</f>
        <v>7</v>
      </c>
      <c r="J307" s="4" cm="1">
        <f t="array" ref="J307">_xll.BDP($A307,"UD_VALUATION_PERCENTILE")</f>
        <v>73.459999999999994</v>
      </c>
      <c r="K307" s="4" cm="1">
        <f t="array" ref="K307">_xll.BDP($A307,"UD_VALUATION_RANK")</f>
        <v>89</v>
      </c>
      <c r="L307" s="4" cm="1">
        <f t="array" ref="L307">_xll.BDP($A307,"UD_MOMENTUM_PERCENTILE")</f>
        <v>53.98</v>
      </c>
      <c r="M307" s="4" cm="1">
        <f t="array" ref="M307">_xll.BDP($A307,"UD_MOMENTUM_RANK")</f>
        <v>67</v>
      </c>
      <c r="N307" s="4" cm="1">
        <f t="array" ref="N307">_xll.BDP($A307,"UD_RISK_PERCENTILE")</f>
        <v>73.819999999999993</v>
      </c>
    </row>
    <row r="308" spans="1:14" x14ac:dyDescent="0.25">
      <c r="A308" t="str">
        <v>VOW3 GY Equity</v>
      </c>
      <c r="B308">
        <v>6.6445611350999995E-2</v>
      </c>
      <c r="C308" s="3" t="str" cm="1">
        <f t="array" ref="C308">_xll.BDP(A308,"GICS_SECTOR_NAME")</f>
        <v>Consumer Discretionary</v>
      </c>
      <c r="D308" s="3" t="str" cm="1">
        <f t="array" ref="D308">_xll.BDP(A308,"GICS_INDUSTRY_NAME")</f>
        <v>Automobiles</v>
      </c>
      <c r="E308" s="4" cm="1">
        <f t="array" ref="E308">_xll.BDP($A308,"UD_OVERALL_FACTOR_PERCENTILE")</f>
        <v>65.11</v>
      </c>
      <c r="F308" s="5" cm="1">
        <f t="array" ref="F308">IFERROR(_xll.BDP($A308,"UD_OPERATING_QUALITY_FP"),50)</f>
        <v>50.98</v>
      </c>
      <c r="G308" s="4" cm="1">
        <f t="array" ref="G308">_xll.BDP($A308,"UD_OPERATING_QUALITY_RANK")</f>
        <v>39</v>
      </c>
      <c r="H308" s="4" cm="1">
        <f t="array" ref="H308">_xll.BDP($A308,"UD_GROWTH_PERCENTILE")</f>
        <v>29.46</v>
      </c>
      <c r="I308" s="6" cm="1">
        <f t="array" ref="I308">_xll.BDP($A308,"UD_GROWTH_RANK")</f>
        <v>8</v>
      </c>
      <c r="J308" s="4" cm="1">
        <f t="array" ref="J308">_xll.BDP($A308,"UD_VALUATION_PERCENTILE")</f>
        <v>92.4</v>
      </c>
      <c r="K308" s="4" cm="1">
        <f t="array" ref="K308">_xll.BDP($A308,"UD_VALUATION_RANK")</f>
        <v>100</v>
      </c>
      <c r="L308" s="4" cm="1">
        <f t="array" ref="L308">_xll.BDP($A308,"UD_MOMENTUM_PERCENTILE")</f>
        <v>51.11</v>
      </c>
      <c r="M308" s="4" cm="1">
        <f t="array" ref="M308">_xll.BDP($A308,"UD_MOMENTUM_RANK")</f>
        <v>59</v>
      </c>
      <c r="N308" s="4" cm="1">
        <f t="array" ref="N308">_xll.BDP($A308,"UD_RISK_PERCENTILE")</f>
        <v>45.38</v>
      </c>
    </row>
    <row r="309" spans="1:14" x14ac:dyDescent="0.25">
      <c r="A309" t="str">
        <v>VWS DC Equity</v>
      </c>
      <c r="B309">
        <v>0.23165693451</v>
      </c>
      <c r="C309" s="3" t="str" cm="1">
        <f t="array" ref="C309">_xll.BDP(A309,"GICS_SECTOR_NAME")</f>
        <v>Industrials</v>
      </c>
      <c r="D309" s="3" t="str" cm="1">
        <f t="array" ref="D309">_xll.BDP(A309,"GICS_INDUSTRY_NAME")</f>
        <v>Electrical Equipment</v>
      </c>
      <c r="E309" s="4" cm="1">
        <f t="array" ref="E309">_xll.BDP($A309,"UD_OVERALL_FACTOR_PERCENTILE")</f>
        <v>35.869999999999997</v>
      </c>
      <c r="F309" s="5" cm="1">
        <f t="array" ref="F309">IFERROR(_xll.BDP($A309,"UD_OPERATING_QUALITY_FP"),50)</f>
        <v>20.010000000000002</v>
      </c>
      <c r="G309" s="4" cm="1">
        <f t="array" ref="G309">_xll.BDP($A309,"UD_OPERATING_QUALITY_RANK")</f>
        <v>2</v>
      </c>
      <c r="H309" s="4" cm="1">
        <f t="array" ref="H309">_xll.BDP($A309,"UD_GROWTH_PERCENTILE")</f>
        <v>77.23</v>
      </c>
      <c r="I309" s="6" cm="1">
        <f t="array" ref="I309">_xll.BDP($A309,"UD_GROWTH_RANK")</f>
        <v>96</v>
      </c>
      <c r="J309" s="4" cm="1">
        <f t="array" ref="J309">_xll.BDP($A309,"UD_VALUATION_PERCENTILE")</f>
        <v>47.03</v>
      </c>
      <c r="K309" s="4" cm="1">
        <f t="array" ref="K309">_xll.BDP($A309,"UD_VALUATION_RANK")</f>
        <v>50</v>
      </c>
      <c r="L309" s="4" cm="1">
        <f t="array" ref="L309">_xll.BDP($A309,"UD_MOMENTUM_PERCENTILE")</f>
        <v>40.229999999999997</v>
      </c>
      <c r="M309" s="4" cm="1">
        <f t="array" ref="M309">_xll.BDP($A309,"UD_MOMENTUM_RANK")</f>
        <v>29</v>
      </c>
      <c r="N309" s="4" cm="1">
        <f t="array" ref="N309">_xll.BDP($A309,"UD_RISK_PERCENTILE")</f>
        <v>27.94</v>
      </c>
    </row>
    <row r="310" spans="1:14" x14ac:dyDescent="0.25">
      <c r="A310" t="str">
        <v>WKL NA Equity</v>
      </c>
      <c r="B310">
        <v>0.41809283165099997</v>
      </c>
      <c r="C310" s="3" t="str" cm="1">
        <f t="array" ref="C310">_xll.BDP(A310,"GICS_SECTOR_NAME")</f>
        <v>Industrials</v>
      </c>
      <c r="D310" s="3" t="str" cm="1">
        <f t="array" ref="D310">_xll.BDP(A310,"GICS_INDUSTRY_NAME")</f>
        <v>Professional Services</v>
      </c>
      <c r="E310" s="4" cm="1">
        <f t="array" ref="E310">_xll.BDP($A310,"UD_OVERALL_FACTOR_PERCENTILE")</f>
        <v>47.9</v>
      </c>
      <c r="F310" s="5" cm="1">
        <f t="array" ref="F310">IFERROR(_xll.BDP($A310,"UD_OPERATING_QUALITY_FP"),50)</f>
        <v>85.67</v>
      </c>
      <c r="G310" s="4" cm="1">
        <f t="array" ref="G310">_xll.BDP($A310,"UD_OPERATING_QUALITY_RANK")</f>
        <v>99</v>
      </c>
      <c r="H310" s="4" cm="1">
        <f t="array" ref="H310">_xll.BDP($A310,"UD_GROWTH_PERCENTILE")</f>
        <v>31.78</v>
      </c>
      <c r="I310" s="6" cm="1">
        <f t="array" ref="I310">_xll.BDP($A310,"UD_GROWTH_RANK")</f>
        <v>11</v>
      </c>
      <c r="J310" s="4" cm="1">
        <f t="array" ref="J310">_xll.BDP($A310,"UD_VALUATION_PERCENTILE")</f>
        <v>17.21</v>
      </c>
      <c r="K310" s="4" cm="1">
        <f t="array" ref="K310">_xll.BDP($A310,"UD_VALUATION_RANK")</f>
        <v>8</v>
      </c>
      <c r="L310" s="4" cm="1">
        <f t="array" ref="L310">_xll.BDP($A310,"UD_MOMENTUM_PERCENTILE")</f>
        <v>41.76</v>
      </c>
      <c r="M310" s="4" cm="1">
        <f t="array" ref="M310">_xll.BDP($A310,"UD_MOMENTUM_RANK")</f>
        <v>33</v>
      </c>
      <c r="N310" s="4" cm="1">
        <f t="array" ref="N310">_xll.BDP($A310,"UD_RISK_PERCENTILE")</f>
        <v>72.8</v>
      </c>
    </row>
    <row r="311" spans="1:14" x14ac:dyDescent="0.25">
      <c r="A311" t="str">
        <v>WPP LN Equity</v>
      </c>
      <c r="B311">
        <v>0.107649369447</v>
      </c>
      <c r="C311" s="3" t="str" cm="1">
        <f t="array" ref="C311">_xll.BDP(A311,"GICS_SECTOR_NAME")</f>
        <v>Communication Services</v>
      </c>
      <c r="D311" s="3" t="str" cm="1">
        <f t="array" ref="D311">_xll.BDP(A311,"GICS_INDUSTRY_NAME")</f>
        <v>Media</v>
      </c>
      <c r="E311" s="4" cm="1">
        <f t="array" ref="E311">_xll.BDP($A311,"UD_OVERALL_FACTOR_PERCENTILE")</f>
        <v>48.11</v>
      </c>
      <c r="F311" s="5" cm="1">
        <f t="array" ref="F311">IFERROR(_xll.BDP($A311,"UD_OPERATING_QUALITY_FP"),50)</f>
        <v>76.84</v>
      </c>
      <c r="G311" s="4" cm="1">
        <f t="array" ref="G311">_xll.BDP($A311,"UD_OPERATING_QUALITY_RANK")</f>
        <v>97</v>
      </c>
      <c r="H311" s="4" cm="1">
        <f t="array" ref="H311">_xll.BDP($A311,"UD_GROWTH_PERCENTILE")</f>
        <v>17.38</v>
      </c>
      <c r="I311" s="6" cm="1">
        <f t="array" ref="I311">_xll.BDP($A311,"UD_GROWTH_RANK")</f>
        <v>1</v>
      </c>
      <c r="J311" s="4" cm="1">
        <f t="array" ref="J311">_xll.BDP($A311,"UD_VALUATION_PERCENTILE")</f>
        <v>56.09</v>
      </c>
      <c r="K311" s="4" cm="1">
        <f t="array" ref="K311">_xll.BDP($A311,"UD_VALUATION_RANK")</f>
        <v>59</v>
      </c>
      <c r="L311" s="4" cm="1">
        <f t="array" ref="L311">_xll.BDP($A311,"UD_MOMENTUM_PERCENTILE")</f>
        <v>11.14</v>
      </c>
      <c r="M311" s="4" cm="1">
        <f t="array" ref="M311">_xll.BDP($A311,"UD_MOMENTUM_RANK")</f>
        <v>0</v>
      </c>
      <c r="N311" s="4" cm="1">
        <f t="array" ref="N311">_xll.BDP($A311,"UD_RISK_PERCENTILE")</f>
        <v>33.1</v>
      </c>
    </row>
    <row r="312" spans="1:14" x14ac:dyDescent="0.25">
      <c r="A312" t="str">
        <v>WRT1V FH Equity</v>
      </c>
      <c r="B312">
        <v>0.22123261095399999</v>
      </c>
      <c r="C312" s="3" t="str" cm="1">
        <f t="array" ref="C312">_xll.BDP(A312,"GICS_SECTOR_NAME")</f>
        <v>Industrials</v>
      </c>
      <c r="D312" s="3" t="str" cm="1">
        <f t="array" ref="D312">_xll.BDP(A312,"GICS_INDUSTRY_NAME")</f>
        <v>Machinery</v>
      </c>
      <c r="E312" s="4" cm="1">
        <f t="array" ref="E312">_xll.BDP($A312,"UD_OVERALL_FACTOR_PERCENTILE")</f>
        <v>50.85</v>
      </c>
      <c r="F312" s="5" cm="1">
        <f t="array" ref="F312">IFERROR(_xll.BDP($A312,"UD_OPERATING_QUALITY_FP"),50)</f>
        <v>59.98</v>
      </c>
      <c r="G312" s="4" cm="1">
        <f t="array" ref="G312">_xll.BDP($A312,"UD_OPERATING_QUALITY_RANK")</f>
        <v>57</v>
      </c>
      <c r="H312" s="4" cm="1">
        <f t="array" ref="H312">_xll.BDP($A312,"UD_GROWTH_PERCENTILE")</f>
        <v>64.38</v>
      </c>
      <c r="I312" s="6" cm="1">
        <f t="array" ref="I312">_xll.BDP($A312,"UD_GROWTH_RANK")</f>
        <v>81</v>
      </c>
      <c r="J312" s="4" cm="1">
        <f t="array" ref="J312">_xll.BDP($A312,"UD_VALUATION_PERCENTILE")</f>
        <v>26.05</v>
      </c>
      <c r="K312" s="4" cm="1">
        <f t="array" ref="K312">_xll.BDP($A312,"UD_VALUATION_RANK")</f>
        <v>20</v>
      </c>
      <c r="L312" s="4" cm="1">
        <f t="array" ref="L312">_xll.BDP($A312,"UD_MOMENTUM_PERCENTILE")</f>
        <v>67.28</v>
      </c>
      <c r="M312" s="4" cm="1">
        <f t="array" ref="M312">_xll.BDP($A312,"UD_MOMENTUM_RANK")</f>
        <v>84</v>
      </c>
      <c r="N312" s="4" cm="1">
        <f t="array" ref="N312">_xll.BDP($A312,"UD_RISK_PERCENTILE")</f>
        <v>33.64</v>
      </c>
    </row>
    <row r="313" spans="1:14" x14ac:dyDescent="0.25">
      <c r="A313" t="str">
        <v>WTB LN Equity</v>
      </c>
      <c r="B313">
        <v>0.22845163722600001</v>
      </c>
      <c r="C313" s="3" t="str" cm="1">
        <f t="array" ref="C313">_xll.BDP(A313,"GICS_SECTOR_NAME")</f>
        <v>Consumer Discretionary</v>
      </c>
      <c r="D313" s="3" t="str" cm="1">
        <f t="array" ref="D313">_xll.BDP(A313,"GICS_INDUSTRY_NAME")</f>
        <v>Hotels, Restaurants &amp; Leisure</v>
      </c>
      <c r="E313" s="4" cm="1">
        <f t="array" ref="E313">_xll.BDP($A313,"UD_OVERALL_FACTOR_PERCENTILE")</f>
        <v>47.48</v>
      </c>
      <c r="F313" s="5" cm="1">
        <f t="array" ref="F313">IFERROR(_xll.BDP($A313,"UD_OPERATING_QUALITY_FP"),50)</f>
        <v>32.770000000000003</v>
      </c>
      <c r="G313" s="4" cm="1">
        <f t="array" ref="G313">_xll.BDP($A313,"UD_OPERATING_QUALITY_RANK")</f>
        <v>10</v>
      </c>
      <c r="H313" s="4" cm="1">
        <f t="array" ref="H313">_xll.BDP($A313,"UD_GROWTH_PERCENTILE")</f>
        <v>42.86</v>
      </c>
      <c r="I313" s="6" cm="1">
        <f t="array" ref="I313">_xll.BDP($A313,"UD_GROWTH_RANK")</f>
        <v>33</v>
      </c>
      <c r="J313" s="4" cm="1">
        <f t="array" ref="J313">_xll.BDP($A313,"UD_VALUATION_PERCENTILE")</f>
        <v>55.91</v>
      </c>
      <c r="K313" s="4" cm="1">
        <f t="array" ref="K313">_xll.BDP($A313,"UD_VALUATION_RANK")</f>
        <v>60</v>
      </c>
      <c r="L313" s="4" cm="1">
        <f t="array" ref="L313">_xll.BDP($A313,"UD_MOMENTUM_PERCENTILE")</f>
        <v>53.5</v>
      </c>
      <c r="M313" s="4" cm="1">
        <f t="array" ref="M313">_xll.BDP($A313,"UD_MOMENTUM_RANK")</f>
        <v>60</v>
      </c>
      <c r="N313" s="4" cm="1">
        <f t="array" ref="N313">_xll.BDP($A313,"UD_RISK_PERCENTILE")</f>
        <v>44.61</v>
      </c>
    </row>
    <row r="314" spans="1:14" x14ac:dyDescent="0.25">
      <c r="A314" t="str">
        <v>YAR NO Equity</v>
      </c>
      <c r="B314">
        <v>0.157507604228</v>
      </c>
      <c r="C314" s="3" t="str" cm="1">
        <f t="array" ref="C314">_xll.BDP(A314,"GICS_SECTOR_NAME")</f>
        <v>Materials</v>
      </c>
      <c r="D314" s="3" t="str" cm="1">
        <f t="array" ref="D314">_xll.BDP(A314,"GICS_INDUSTRY_NAME")</f>
        <v>Chemicals</v>
      </c>
      <c r="E314" s="4" cm="1">
        <f t="array" ref="E314">_xll.BDP($A314,"UD_OVERALL_FACTOR_PERCENTILE")</f>
        <v>60</v>
      </c>
      <c r="F314" s="5" cm="1">
        <f t="array" ref="F314">IFERROR(_xll.BDP($A314,"UD_OPERATING_QUALITY_FP"),50)</f>
        <v>34.32</v>
      </c>
      <c r="G314" s="4" cm="1">
        <f t="array" ref="G314">_xll.BDP($A314,"UD_OPERATING_QUALITY_RANK")</f>
        <v>20</v>
      </c>
      <c r="H314" s="4" cm="1">
        <f t="array" ref="H314">_xll.BDP($A314,"UD_GROWTH_PERCENTILE")</f>
        <v>32.56</v>
      </c>
      <c r="I314" s="6" cm="1">
        <f t="array" ref="I314">_xll.BDP($A314,"UD_GROWTH_RANK")</f>
        <v>13</v>
      </c>
      <c r="J314" s="4" cm="1">
        <f t="array" ref="J314">_xll.BDP($A314,"UD_VALUATION_PERCENTILE")</f>
        <v>65.63</v>
      </c>
      <c r="K314" s="4" cm="1">
        <f t="array" ref="K314">_xll.BDP($A314,"UD_VALUATION_RANK")</f>
        <v>78</v>
      </c>
      <c r="L314" s="4" cm="1">
        <f t="array" ref="L314">_xll.BDP($A314,"UD_MOMENTUM_PERCENTILE")</f>
        <v>79.86</v>
      </c>
      <c r="M314" s="4" cm="1">
        <f t="array" ref="M314">_xll.BDP($A314,"UD_MOMENTUM_RANK")</f>
        <v>97</v>
      </c>
      <c r="N314" s="4" cm="1">
        <f t="array" ref="N314">_xll.BDP($A314,"UD_RISK_PERCENTILE")</f>
        <v>72.75</v>
      </c>
    </row>
    <row r="315" spans="1:14" x14ac:dyDescent="0.25">
      <c r="A315" t="str">
        <v>ZAL GY Equity</v>
      </c>
      <c r="B315">
        <v>2.0933656963000001E-2</v>
      </c>
      <c r="C315" s="3" t="str" cm="1">
        <f t="array" ref="C315">_xll.BDP(A315,"GICS_SECTOR_NAME")</f>
        <v>Consumer Discretionary</v>
      </c>
      <c r="D315" s="3" t="str" cm="1">
        <f t="array" ref="D315">_xll.BDP(A315,"GICS_INDUSTRY_NAME")</f>
        <v>Specialty Retail</v>
      </c>
      <c r="E315" s="4" cm="1">
        <f t="array" ref="E315">_xll.BDP($A315,"UD_OVERALL_FACTOR_PERCENTILE")</f>
        <v>45.86</v>
      </c>
      <c r="F315" s="5" cm="1">
        <f t="array" ref="F315">IFERROR(_xll.BDP($A315,"UD_OPERATING_QUALITY_FP"),50)</f>
        <v>45.82</v>
      </c>
      <c r="G315" s="4" cm="1">
        <f t="array" ref="G315">_xll.BDP($A315,"UD_OPERATING_QUALITY_RANK")</f>
        <v>26</v>
      </c>
      <c r="H315" s="4" cm="1">
        <f t="array" ref="H315">_xll.BDP($A315,"UD_GROWTH_PERCENTILE")</f>
        <v>70.36</v>
      </c>
      <c r="I315" s="6" cm="1">
        <f t="array" ref="I315">_xll.BDP($A315,"UD_GROWTH_RANK")</f>
        <v>90</v>
      </c>
      <c r="J315" s="4" cm="1">
        <f t="array" ref="J315">_xll.BDP($A315,"UD_VALUATION_PERCENTILE")</f>
        <v>37.159999999999997</v>
      </c>
      <c r="K315" s="4" cm="1">
        <f t="array" ref="K315">_xll.BDP($A315,"UD_VALUATION_RANK")</f>
        <v>33</v>
      </c>
      <c r="L315" s="4" cm="1">
        <f t="array" ref="L315">_xll.BDP($A315,"UD_MOMENTUM_PERCENTILE")</f>
        <v>54.87</v>
      </c>
      <c r="M315" s="4" cm="1">
        <f t="array" ref="M315">_xll.BDP($A315,"UD_MOMENTUM_RANK")</f>
        <v>65</v>
      </c>
      <c r="N315" s="4" cm="1">
        <f t="array" ref="N315">_xll.BDP($A315,"UD_RISK_PERCENTILE")</f>
        <v>16.82</v>
      </c>
    </row>
    <row r="316" spans="1:14" x14ac:dyDescent="0.25">
      <c r="A316" t="str">
        <v>ZEAL DC Equity</v>
      </c>
      <c r="B316">
        <v>4.8437114773999999E-2</v>
      </c>
      <c r="C316" s="3" t="str" cm="1">
        <f t="array" ref="C316">_xll.BDP(A316,"GICS_SECTOR_NAME")</f>
        <v>Health Care</v>
      </c>
      <c r="D316" s="3" t="str" cm="1">
        <f t="array" ref="D316">_xll.BDP(A316,"GICS_INDUSTRY_NAME")</f>
        <v>Biotechnology</v>
      </c>
      <c r="E316" s="4" cm="1">
        <f t="array" ref="E316">_xll.BDP($A316,"UD_OVERALL_FACTOR_PERCENTILE")</f>
        <v>20.64</v>
      </c>
      <c r="F316" s="5" cm="1">
        <f t="array" ref="F316">IFERROR(_xll.BDP($A316,"UD_OPERATING_QUALITY_FP"),50)</f>
        <v>8.4</v>
      </c>
      <c r="G316" s="4" cm="1">
        <f t="array" ref="G316">_xll.BDP($A316,"UD_OPERATING_QUALITY_RANK")</f>
        <v>4</v>
      </c>
      <c r="H316" s="4" cm="1">
        <f t="array" ref="H316">_xll.BDP($A316,"UD_GROWTH_PERCENTILE")</f>
        <v>48.38</v>
      </c>
      <c r="I316" s="6" cm="1">
        <f t="array" ref="I316">_xll.BDP($A316,"UD_GROWTH_RANK")</f>
        <v>45</v>
      </c>
      <c r="J316" s="4" cm="1">
        <f t="array" ref="J316">_xll.BDP($A316,"UD_VALUATION_PERCENTILE")</f>
        <v>38.86</v>
      </c>
      <c r="K316" s="4" cm="1">
        <f t="array" ref="K316">_xll.BDP($A316,"UD_VALUATION_RANK")</f>
        <v>32</v>
      </c>
      <c r="L316" s="4" cm="1">
        <f t="array" ref="L316">_xll.BDP($A316,"UD_MOMENTUM_PERCENTILE")</f>
        <v>14.12</v>
      </c>
      <c r="M316" s="4" cm="1">
        <f t="array" ref="M316">_xll.BDP($A316,"UD_MOMENTUM_RANK")</f>
        <v>1</v>
      </c>
      <c r="N316" s="4" cm="1">
        <f t="array" ref="N316">_xll.BDP($A316,"UD_RISK_PERCENTILE")</f>
        <v>18.399999999999999</v>
      </c>
    </row>
    <row r="317" spans="1:14" x14ac:dyDescent="0.25">
      <c r="A317" t="str">
        <v>ZURN SW Equity</v>
      </c>
      <c r="B317">
        <v>1.0416997806220001</v>
      </c>
      <c r="C317" s="3" t="str" cm="1">
        <f t="array" ref="C317">_xll.BDP(A317,"GICS_SECTOR_NAME")</f>
        <v>Financials</v>
      </c>
      <c r="D317" s="3" t="str" cm="1">
        <f t="array" ref="D317">_xll.BDP(A317,"GICS_INDUSTRY_NAME")</f>
        <v>Insurance</v>
      </c>
      <c r="E317" s="4" cm="1">
        <f t="array" ref="E317">_xll.BDP($A317,"UD_OVERALL_FACTOR_PERCENTILE")</f>
        <v>44.81</v>
      </c>
      <c r="F317" s="5" cm="1">
        <f t="array" ref="F317">IFERROR(_xll.BDP($A317,"UD_OPERATING_QUALITY_FP"),50)</f>
        <v>59.99</v>
      </c>
      <c r="G317" s="4" cm="1">
        <f t="array" ref="G317">_xll.BDP($A317,"UD_OPERATING_QUALITY_RANK")</f>
        <v>72</v>
      </c>
      <c r="H317" s="4" cm="1">
        <f t="array" ref="H317">_xll.BDP($A317,"UD_GROWTH_PERCENTILE")</f>
        <v>60.24</v>
      </c>
      <c r="I317" s="6" cm="1">
        <f t="array" ref="I317">_xll.BDP($A317,"UD_GROWTH_RANK")</f>
        <v>73</v>
      </c>
      <c r="J317" s="4" cm="1">
        <f t="array" ref="J317">_xll.BDP($A317,"UD_VALUATION_PERCENTILE")</f>
        <v>29.27</v>
      </c>
      <c r="K317" s="4" cm="1">
        <f t="array" ref="K317">_xll.BDP($A317,"UD_VALUATION_RANK")</f>
        <v>20</v>
      </c>
      <c r="L317" s="4" cm="1">
        <f t="array" ref="L317">_xll.BDP($A317,"UD_MOMENTUM_PERCENTILE")</f>
        <v>45.64</v>
      </c>
      <c r="M317" s="4" cm="1">
        <f t="array" ref="M317">_xll.BDP($A317,"UD_MOMENTUM_RANK")</f>
        <v>20</v>
      </c>
      <c r="N317" s="4" cm="1">
        <f t="array" ref="N317">_xll.BDP($A317,"UD_RISK_PERCENTILE")</f>
        <v>87.54</v>
      </c>
    </row>
  </sheetData>
  <autoFilter ref="A2:N2" xr:uid="{FB9AB722-5AC7-4C30-AB3C-70EA33040EA5}"/>
  <mergeCells count="1">
    <mergeCell ref="A1:B1"/>
  </mergeCells>
  <conditionalFormatting sqref="E1:E2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317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2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:F3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:G2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31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:H2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3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:I2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3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:J2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31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:K2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31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:L2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31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:M2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317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:N2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31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7387-3CB6-47C8-B881-03781F5497B7}">
  <dimension ref="B2:E5"/>
  <sheetViews>
    <sheetView workbookViewId="0">
      <selection activeCell="N15" sqref="N15"/>
    </sheetView>
  </sheetViews>
  <sheetFormatPr defaultRowHeight="15" x14ac:dyDescent="0.25"/>
  <cols>
    <col min="2" max="2" width="36.5703125" bestFit="1" customWidth="1"/>
  </cols>
  <sheetData>
    <row r="2" spans="2:5" x14ac:dyDescent="0.25">
      <c r="C2" t="s">
        <v>15</v>
      </c>
      <c r="D2" t="s">
        <v>18</v>
      </c>
      <c r="E2" t="s">
        <v>19</v>
      </c>
    </row>
    <row r="3" spans="2:5" x14ac:dyDescent="0.25">
      <c r="B3" t="s">
        <v>16</v>
      </c>
      <c r="C3">
        <f>SUMPRODUCT(alpha!$B$3:$B$41,alpha!I3:I41) / 100</f>
        <v>71.14506959056142</v>
      </c>
      <c r="D3">
        <f>SUMPRODUCT(core!$B$3:$B$317,core!G3:G317) / 100</f>
        <v>54.838279206881367</v>
      </c>
      <c r="E3">
        <f>C3-D3</f>
        <v>16.306790383680053</v>
      </c>
    </row>
    <row r="4" spans="2:5" x14ac:dyDescent="0.25">
      <c r="B4" t="s">
        <v>17</v>
      </c>
      <c r="C4">
        <f>SUMPRODUCT(alpha!$B$3:$B$41,alpha!M3:M41) / 100</f>
        <v>43.033904883789248</v>
      </c>
      <c r="D4">
        <f>SUMPRODUCT(core!$B$3:$B$317,core!K3:K317) / 100</f>
        <v>43.797978380869026</v>
      </c>
      <c r="E4">
        <f>C4-D4</f>
        <v>-0.76407349707977801</v>
      </c>
    </row>
    <row r="5" spans="2:5" x14ac:dyDescent="0.25">
      <c r="B5" t="s">
        <v>14</v>
      </c>
      <c r="C5">
        <f>SUMPRODUCT(alpha!$B$3:$B$41,alpha!O3:O41) / 100</f>
        <v>43.236681482942771</v>
      </c>
      <c r="D5">
        <f>SUMPRODUCT(core!$B$3:$B$317,core!M3:M317) / 100</f>
        <v>48.65735497881704</v>
      </c>
      <c r="E5">
        <f>C5-D5</f>
        <v>-5.4206734958742686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</vt:lpstr>
      <vt:lpstr>core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Quint</dc:creator>
  <cp:lastModifiedBy>Casper Quint</cp:lastModifiedBy>
  <dcterms:created xsi:type="dcterms:W3CDTF">2025-09-13T11:47:41Z</dcterms:created>
  <dcterms:modified xsi:type="dcterms:W3CDTF">2025-09-14T16:47:14Z</dcterms:modified>
</cp:coreProperties>
</file>